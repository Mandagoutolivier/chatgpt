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MANDAGOUT\_bases_correspondants\"/>
    </mc:Choice>
  </mc:AlternateContent>
  <bookViews>
    <workbookView xWindow="0" yWindow="0" windowWidth="28800" windowHeight="12180" activeTab="5"/>
  </bookViews>
  <sheets>
    <sheet name="Generalistes" sheetId="1" r:id="rId1"/>
    <sheet name="Specialistes" sheetId="2" r:id="rId2"/>
    <sheet name="Specialistes_ParType" sheetId="3" r:id="rId3"/>
    <sheet name="Listes" sheetId="4" r:id="rId4"/>
    <sheet name="Mode_emploi" sheetId="5" r:id="rId5"/>
    <sheet name="Structures" sheetId="6" r:id="rId6"/>
    <sheet name="Saisie_Correspondants" sheetId="7" r:id="rId7"/>
  </sheets>
  <calcPr calcId="162913"/>
</workbook>
</file>

<file path=xl/calcChain.xml><?xml version="1.0" encoding="utf-8"?>
<calcChain xmlns="http://schemas.openxmlformats.org/spreadsheetml/2006/main">
  <c r="E13" i="7" l="1"/>
  <c r="E12" i="7"/>
  <c r="E11" i="7"/>
  <c r="E10" i="7"/>
  <c r="E9" i="7"/>
  <c r="E26" i="7"/>
  <c r="E25" i="7"/>
  <c r="E24" i="7"/>
  <c r="E23" i="7"/>
  <c r="E22" i="7"/>
  <c r="E21" i="7"/>
  <c r="E20" i="7"/>
  <c r="E19" i="7"/>
  <c r="E18" i="7"/>
  <c r="E15" i="7"/>
  <c r="E14" i="7"/>
  <c r="E8" i="7"/>
  <c r="E5" i="7"/>
  <c r="E4" i="7"/>
  <c r="E6" i="7" s="1"/>
  <c r="E7" i="7" s="1"/>
  <c r="E16" i="7" l="1"/>
  <c r="E17" i="7"/>
</calcChain>
</file>

<file path=xl/sharedStrings.xml><?xml version="1.0" encoding="utf-8"?>
<sst xmlns="http://schemas.openxmlformats.org/spreadsheetml/2006/main" count="4408" uniqueCount="2077">
  <si>
    <t>ID</t>
  </si>
  <si>
    <t>NomAffichage</t>
  </si>
  <si>
    <t>Titre</t>
  </si>
  <si>
    <t>Civilite</t>
  </si>
  <si>
    <t>PrenomOuInitiale</t>
  </si>
  <si>
    <t>Nom</t>
  </si>
  <si>
    <t>Structure</t>
  </si>
  <si>
    <t>Adresse1</t>
  </si>
  <si>
    <t>Adresse2</t>
  </si>
  <si>
    <t>CodePostal</t>
  </si>
  <si>
    <t>Ville</t>
  </si>
  <si>
    <t>Telephone</t>
  </si>
  <si>
    <t>BlocDestinataireComplet</t>
  </si>
  <si>
    <t>FormuleAppel</t>
  </si>
  <si>
    <t>TutoiementVouvoiement</t>
  </si>
  <si>
    <t>NombreOccurrences</t>
  </si>
  <si>
    <t>SourceLignes</t>
  </si>
  <si>
    <t>Actif</t>
  </si>
  <si>
    <t>AValider</t>
  </si>
  <si>
    <t>CommentaireExtraction</t>
  </si>
  <si>
    <t>SourceInternet</t>
  </si>
  <si>
    <t>MethodeMiseAJour</t>
  </si>
  <si>
    <t>GEN_0001</t>
  </si>
  <si>
    <t>Docteur Ahmed HASSANI</t>
  </si>
  <si>
    <t>Docteur</t>
  </si>
  <si>
    <t>Ahmed</t>
  </si>
  <si>
    <t>HASSANI</t>
  </si>
  <si>
    <t>8, rue Jean Jaurès</t>
  </si>
  <si>
    <t>60110</t>
  </si>
  <si>
    <t>MÉRU</t>
  </si>
  <si>
    <t>Docteur Ahmed HASSANI
8, rue Jean Jaurès
60110 MÉRU</t>
  </si>
  <si>
    <t>Cher Ami,</t>
  </si>
  <si>
    <t>tu</t>
  </si>
  <si>
    <t>2</t>
  </si>
  <si>
    <t>Oui</t>
  </si>
  <si>
    <t>GEN_0002</t>
  </si>
  <si>
    <t>Docteur Ahmed OSMAAN</t>
  </si>
  <si>
    <t>OSMAAN</t>
  </si>
  <si>
    <t>88, Avenue du Général-de-Gaulle</t>
  </si>
  <si>
    <t>95290</t>
  </si>
  <si>
    <t>L’ISLE-ADAM</t>
  </si>
  <si>
    <t>Docteur Ahmed OSMAAN
88, Avenue du Général-de-Gaulle
95 290 L’Isle-Adam</t>
  </si>
  <si>
    <t>Cher Confrère,</t>
  </si>
  <si>
    <t>vous</t>
  </si>
  <si>
    <t>3</t>
  </si>
  <si>
    <t>GEN_0003</t>
  </si>
  <si>
    <t>Docteur Farid AIT GANA</t>
  </si>
  <si>
    <t>Farid</t>
  </si>
  <si>
    <t>AIT GANA</t>
  </si>
  <si>
    <t>10, Avenue du 8 mai 1945</t>
  </si>
  <si>
    <t>95400</t>
  </si>
  <si>
    <t>VILLIERS LE BEL</t>
  </si>
  <si>
    <t>Docteur Farid AIT GANA
10, Avenue du 8 mai 1945
95400 VILLIERS LE BEL</t>
  </si>
  <si>
    <t>4</t>
  </si>
  <si>
    <t>https://www.sante.fr/medecine-generale/villiers-le-bel/dr-ait-gana-farid</t>
  </si>
  <si>
    <t>Vérifié en ligne le 02/08/2026</t>
  </si>
  <si>
    <t>GEN_0004</t>
  </si>
  <si>
    <t>Docteur Alain TERMINET</t>
  </si>
  <si>
    <t>Alain</t>
  </si>
  <si>
    <t>TERMINET</t>
  </si>
  <si>
    <t>5, rue du Bel Air</t>
  </si>
  <si>
    <t>78570</t>
  </si>
  <si>
    <t>ANDRÉSY</t>
  </si>
  <si>
    <t>Docteur Alain TERMINET
5, rue du Bel Air
78570 Andrésy</t>
  </si>
  <si>
    <t>5</t>
  </si>
  <si>
    <t>GEN_0005</t>
  </si>
  <si>
    <t>Docteur Aline PAZAT-FROMENTIN</t>
  </si>
  <si>
    <t>Aline</t>
  </si>
  <si>
    <t>PAZAT-FROMENTIN</t>
  </si>
  <si>
    <t>1, rue Jeanne Planche</t>
  </si>
  <si>
    <t>95150</t>
  </si>
  <si>
    <t>TAVERNY</t>
  </si>
  <si>
    <t>Docteur Aline PAZAT-FROMENTIN
1, rue Jeanne Planche
95150 Taverny</t>
  </si>
  <si>
    <t>Ma Chère Consoeur,</t>
  </si>
  <si>
    <t>6</t>
  </si>
  <si>
    <t>GEN_0006</t>
  </si>
  <si>
    <t>Docteur ALLARDYCE James</t>
  </si>
  <si>
    <t>James</t>
  </si>
  <si>
    <t>ALLARDYCE</t>
  </si>
  <si>
    <t>7 bis, rue Raymond Poincaré</t>
  </si>
  <si>
    <t>95620</t>
  </si>
  <si>
    <t>PARMAIN</t>
  </si>
  <si>
    <t>Docteur ALLARDYCE James
7 bis, rue Raymond Poincaré
95620 Parmain</t>
  </si>
  <si>
    <t>Mon Cher James,</t>
  </si>
  <si>
    <t>7;81</t>
  </si>
  <si>
    <t>GEN_0007</t>
  </si>
  <si>
    <t>Docteur ALLAY François</t>
  </si>
  <si>
    <t>François</t>
  </si>
  <si>
    <t>ALLAY</t>
  </si>
  <si>
    <t>22, place Tiburce-Lefèvre</t>
  </si>
  <si>
    <t>60530</t>
  </si>
  <si>
    <t>NEUILLY-EN-THELLE</t>
  </si>
  <si>
    <t>Docteur ALLAY François
22, place Tiburce-Lefèvre
60530 Neuilly-en-Thelle</t>
  </si>
  <si>
    <t>8;198</t>
  </si>
  <si>
    <t>GEN_0008</t>
  </si>
  <si>
    <t>Docteur Amine ROUIS</t>
  </si>
  <si>
    <t>Amine</t>
  </si>
  <si>
    <t>ROUIS</t>
  </si>
  <si>
    <t>4, rue Léon Godin</t>
  </si>
  <si>
    <t>BEAUMONT-SUR-OISE</t>
  </si>
  <si>
    <t>Docteur Amine ROUIS
4, rue Léon Godin
95260 BEAUMONT-SUR-OISE</t>
  </si>
  <si>
    <t>9</t>
  </si>
  <si>
    <t>Code postal et ville complétés en ligne.</t>
  </si>
  <si>
    <t>https://www.doctolib.fr/medecin-generaliste/beaumont-sur-oise/amine-rouis</t>
  </si>
  <si>
    <t>GEN_0009</t>
  </si>
  <si>
    <t>Docteur André SIDE</t>
  </si>
  <si>
    <t>André</t>
  </si>
  <si>
    <t>SIDE</t>
  </si>
  <si>
    <t>47, avenue Paul-Valéry</t>
  </si>
  <si>
    <t>95200</t>
  </si>
  <si>
    <t>SARCELLES</t>
  </si>
  <si>
    <t>Docteur André SIDE
47, avenue Paul-Valéry
95 200 SARCELLES</t>
  </si>
  <si>
    <t>10</t>
  </si>
  <si>
    <t>GEN_0010</t>
  </si>
  <si>
    <t>Docteur Anne LANKAR-KOBRYNER</t>
  </si>
  <si>
    <t>Anne</t>
  </si>
  <si>
    <t>LANKAR-KOBRYNER</t>
  </si>
  <si>
    <t>56, rue de la Liberté</t>
  </si>
  <si>
    <t>SURVILLIERS</t>
  </si>
  <si>
    <t>Docteur Anne LANKAR-KOBRYNER
56, rue de la Liberté
95470 SURVILLIERS</t>
  </si>
  <si>
    <t>11</t>
  </si>
  <si>
    <t>https://www.sante.fr/medecine-generale/survilliers/dr-lankar-kobryner-anne</t>
  </si>
  <si>
    <t>GEN_0011</t>
  </si>
  <si>
    <t>Docteur Barbara TROUVÉ</t>
  </si>
  <si>
    <t>Barbara</t>
  </si>
  <si>
    <t>TROUVÉ</t>
  </si>
  <si>
    <t>38, Sente Sorel</t>
  </si>
  <si>
    <t>60460</t>
  </si>
  <si>
    <t>PRÉCY-SUR-OISE</t>
  </si>
  <si>
    <t>Docteur Barbara TROUVÉ
38, Sente Sorel
60460 Précy-sur-Oise</t>
  </si>
  <si>
    <t>Ma Chère Amie,</t>
  </si>
  <si>
    <t>12;13;14;15;16</t>
  </si>
  <si>
    <t>GEN_0012</t>
  </si>
  <si>
    <t>Docteur Sophie BEAUFRETON</t>
  </si>
  <si>
    <t>Sophie</t>
  </si>
  <si>
    <t>BEAUFRETON</t>
  </si>
  <si>
    <t>5, impasse aux Cerfs</t>
  </si>
  <si>
    <t>COYE-LA-FORÊT</t>
  </si>
  <si>
    <t>Docteur Sophie BEAUFRETON
5, impasse aux Cerfs
60580 COYE-LA-FORÊT</t>
  </si>
  <si>
    <t>17</t>
  </si>
  <si>
    <t>Code postal corrigé de 65580 à 60580.</t>
  </si>
  <si>
    <t>https://www.sante.fr/medecine-generale/coye-la-foret/dr-beaufreton-sophie</t>
  </si>
  <si>
    <t>GEN_0013</t>
  </si>
  <si>
    <t>Docteur Zilassen BENBRAHIM</t>
  </si>
  <si>
    <t>Zilassen</t>
  </si>
  <si>
    <t>BENBRAHIM</t>
  </si>
  <si>
    <t>16 rue de L’Isle-Adam</t>
  </si>
  <si>
    <t>95260</t>
  </si>
  <si>
    <t>BEAUMONT SUR OISE</t>
  </si>
  <si>
    <t>Docteur Zilassen BENBRAHIM
16 rue de L’Isle-Adam
95260 BEAUMONT SUR OISE</t>
  </si>
  <si>
    <t>Mon Très Cher Zilassen,</t>
  </si>
  <si>
    <t>18</t>
  </si>
  <si>
    <t>Prénom séparé du champ Nom existant le 02/08/2026</t>
  </si>
  <si>
    <t>GEN_0014</t>
  </si>
  <si>
    <t>Docteur Bernard LADAM</t>
  </si>
  <si>
    <t>Bernard</t>
  </si>
  <si>
    <t>LADAM</t>
  </si>
  <si>
    <t>4, Place de l’Église</t>
  </si>
  <si>
    <t>60550</t>
  </si>
  <si>
    <t>VERNEUIL-EN-HALATTE</t>
  </si>
  <si>
    <t>Docteur Bernard LADAM
4, Place de l’Église
60550 VERNEUIL-EN-HALATTE</t>
  </si>
  <si>
    <t>19</t>
  </si>
  <si>
    <t>GEN_0015</t>
  </si>
  <si>
    <t>Docteur Nadia BERRABAH MAJDOUB</t>
  </si>
  <si>
    <t>Nadia</t>
  </si>
  <si>
    <t>BERRABAH MAJDOUB</t>
  </si>
  <si>
    <t>10, avenue Paul Thoureau</t>
  </si>
  <si>
    <t>Docteur Nadia BERRABAH MAJDOUB
10, avenue Paul Thoureau
95290 L’ISLE-ADAM</t>
  </si>
  <si>
    <t>20;195</t>
  </si>
  <si>
    <t>GEN_0016</t>
  </si>
  <si>
    <t>Docteur Delphine BLANPIED</t>
  </si>
  <si>
    <t>Delphine</t>
  </si>
  <si>
    <t>BLANPIED</t>
  </si>
  <si>
    <t>3, Rue Kleinpeter</t>
  </si>
  <si>
    <t>95270</t>
  </si>
  <si>
    <t>VIARMES</t>
  </si>
  <si>
    <t>Docteur Delphine BLANPIED
3, Rue Kleinpeter
95270 VIARMES</t>
  </si>
  <si>
    <t>21;43</t>
  </si>
  <si>
    <t>GEN_0017</t>
  </si>
  <si>
    <t>Docteur Yacine BOUDJADJA</t>
  </si>
  <si>
    <t>Yacine</t>
  </si>
  <si>
    <t>BOUDJADJA</t>
  </si>
  <si>
    <t>Hôpital NOVO – Site de Beaumont-sur-Oise</t>
  </si>
  <si>
    <t>25, rue Edmond Turcq</t>
  </si>
  <si>
    <t>Docteur Yacine BOUDJADJA
Hôpital NOVO – Site de Beaumont-sur-Oise
25, rue Edmond Turcq
95260 BEAUMONT-SUR-OISE</t>
  </si>
  <si>
    <t>Mon Cher Confrère,</t>
  </si>
  <si>
    <t>22</t>
  </si>
  <si>
    <t>https://www.maquestionmedicale.fr/med-rdv/professions/medecin/beaumont-sur-oise/docteur-yacine-boudjadja.htm</t>
  </si>
  <si>
    <t>GEN_0018</t>
  </si>
  <si>
    <t>Docteur Catherine BREUILLARD-DORANGE</t>
  </si>
  <si>
    <t>Catherine</t>
  </si>
  <si>
    <t>BREUILLARD-DORANGE</t>
  </si>
  <si>
    <t>12, rue Albert Dugué</t>
  </si>
  <si>
    <t>60100</t>
  </si>
  <si>
    <t>CREIL</t>
  </si>
  <si>
    <t>Docteur Catherine BREUILLARD-DORANGE
12, rue Albert Dugué
60100 CREIL</t>
  </si>
  <si>
    <t>23</t>
  </si>
  <si>
    <t>https://www.doctolib.fr/endocrinologue/creil/catherine-breuillard-dorange</t>
  </si>
  <si>
    <t>GEN_0019</t>
  </si>
  <si>
    <t>Docteur Camille HUMBERTCLAUDE</t>
  </si>
  <si>
    <t>Camille</t>
  </si>
  <si>
    <t>HUMBERTCLAUDE</t>
  </si>
  <si>
    <t>9D, Rue Victor Hugo</t>
  </si>
  <si>
    <t>60500</t>
  </si>
  <si>
    <t>CHANTILLY</t>
  </si>
  <si>
    <t>Docteur Camille HUMBERTCLAUDE
9D, Rue Victor Hugo
60500 CHANTILLY</t>
  </si>
  <si>
    <t>24</t>
  </si>
  <si>
    <t>GEN_0020</t>
  </si>
  <si>
    <t>Docteur Carole FESNEAU-DEZ</t>
  </si>
  <si>
    <t>Carole</t>
  </si>
  <si>
    <t>FESNEAU-DEZ</t>
  </si>
  <si>
    <t>53, boulevard Léon Blum</t>
  </si>
  <si>
    <t>Docteur Carole FESNEAU-DEZ
53, boulevard Léon Blum
95260 BEAUMONT-SUR-OISE</t>
  </si>
  <si>
    <t>Ma Chère Carole,</t>
  </si>
  <si>
    <t>25</t>
  </si>
  <si>
    <t>Nom complet et adresse actuelle vérifiés : FESNEAU-DEZ, 53 boulevard Léon Blum.</t>
  </si>
  <si>
    <t>https://www.sante.fr/medecine-generale/beaumont-sur-oise/dr-fesneau-dez-carole</t>
  </si>
  <si>
    <t>GEN_0021</t>
  </si>
  <si>
    <t>Docteur Carole GOURGAND</t>
  </si>
  <si>
    <t>GOURGAND</t>
  </si>
  <si>
    <t>Maison de Santé</t>
  </si>
  <si>
    <t>120, rue Raymond Joly</t>
  </si>
  <si>
    <t>60230</t>
  </si>
  <si>
    <t>CHAMBLY</t>
  </si>
  <si>
    <t>Docteur Carole GOURGAND
Maison de Santé
120, rue Raymond Joly
60230 CHAMBLY</t>
  </si>
  <si>
    <t>26</t>
  </si>
  <si>
    <t>GEN_0022</t>
  </si>
  <si>
    <t>Docteur Stéphanie CARTON</t>
  </si>
  <si>
    <t>Stéphanie</t>
  </si>
  <si>
    <t>CARTON</t>
  </si>
  <si>
    <t>1, rue Ahmed Benkhaled</t>
  </si>
  <si>
    <t>60250</t>
  </si>
  <si>
    <t>MOUY</t>
  </si>
  <si>
    <t>Docteur Stéphanie CARTON
1, rue Ahmed Benkhaled
60250 MOUY</t>
  </si>
  <si>
    <t>27</t>
  </si>
  <si>
    <t>https://www.doctolib.fr/medecin-generaliste/mouy/stephanie-carton</t>
  </si>
  <si>
    <t>GEN_0023</t>
  </si>
  <si>
    <t>Docteur Catherine BOURGAIN</t>
  </si>
  <si>
    <t>BOURGAIN</t>
  </si>
  <si>
    <t>5, Place de la Gare</t>
  </si>
  <si>
    <t>95350</t>
  </si>
  <si>
    <t>SAINT BRICE SOUS FORÊT</t>
  </si>
  <si>
    <t>Docteur Catherine BOURGAIN
5, Place de la Gare
95 350 SAINT BRICE SOUS FORÊT</t>
  </si>
  <si>
    <t>28</t>
  </si>
  <si>
    <t>GEN_0024</t>
  </si>
  <si>
    <t>Docteur Catherine SOREL</t>
  </si>
  <si>
    <t>SOREL</t>
  </si>
  <si>
    <t>30 bis, Grande Rue</t>
  </si>
  <si>
    <t>67730</t>
  </si>
  <si>
    <t>ULLY-SAINT-GEORGES</t>
  </si>
  <si>
    <t>Docteur Catherine SOREL
30 bis, Grande Rue
67730 Ully-Saint-Georges</t>
  </si>
  <si>
    <t>29;131</t>
  </si>
  <si>
    <t>GEN_0025</t>
  </si>
  <si>
    <t>Docteur Cécile AMORY</t>
  </si>
  <si>
    <t>Cécile</t>
  </si>
  <si>
    <t>AMORY</t>
  </si>
  <si>
    <t>25, avenue du Général Leclerc</t>
  </si>
  <si>
    <t>Docteur Cécile AMORY
25, avenue du Général Leclerc
60500 Chantilly</t>
  </si>
  <si>
    <t>30</t>
  </si>
  <si>
    <t>GEN_0026</t>
  </si>
  <si>
    <t>Docteur Céline BRETELLE</t>
  </si>
  <si>
    <t>Céline</t>
  </si>
  <si>
    <t>BRETELLE</t>
  </si>
  <si>
    <t>5 bis, rue de l’Arrivée</t>
  </si>
  <si>
    <t>95880</t>
  </si>
  <si>
    <t>ENGHIEN-LES-BAINS</t>
  </si>
  <si>
    <t>Docteur Céline BRETELLE
5 bis, rue de l’Arrivée
95880 Enghien-les-Bains</t>
  </si>
  <si>
    <t>31</t>
  </si>
  <si>
    <t>GEN_0027</t>
  </si>
  <si>
    <t>Docteur Céline PONCIN</t>
  </si>
  <si>
    <t>PONCIN</t>
  </si>
  <si>
    <t>10, place de la Garenne</t>
  </si>
  <si>
    <t>LUZARCHES</t>
  </si>
  <si>
    <t>Docteur Céline PONCIN
10, place de la Garenne
95270 Luzarches</t>
  </si>
  <si>
    <t>32;33</t>
  </si>
  <si>
    <t>GEN_0028</t>
  </si>
  <si>
    <t>Docteur Nouradine CHIGRI</t>
  </si>
  <si>
    <t>Nouradine</t>
  </si>
  <si>
    <t>CHIGRI</t>
  </si>
  <si>
    <t>3, Place de l’Église</t>
  </si>
  <si>
    <t>60149</t>
  </si>
  <si>
    <t>SAINT-CRÉPIN-IBOUVILLERS</t>
  </si>
  <si>
    <t>Docteur Nouradine CHIGRI
3, Place de l’Église
60149 SAINT-CRÉPIN-IBOUVILLERS</t>
  </si>
  <si>
    <t>34;110</t>
  </si>
  <si>
    <t>GEN_0029</t>
  </si>
  <si>
    <t>Docteur Claire BARBÉE</t>
  </si>
  <si>
    <t>Claire</t>
  </si>
  <si>
    <t>BARBÉE</t>
  </si>
  <si>
    <t>5, Rue du Sétubal</t>
  </si>
  <si>
    <t>60000</t>
  </si>
  <si>
    <t>BEAUVAIS</t>
  </si>
  <si>
    <t>Docteur Claire BARBÉE
5, Rue du Sétubal
60000 BEAUVAIS</t>
  </si>
  <si>
    <t>35</t>
  </si>
  <si>
    <t>GEN_0030</t>
  </si>
  <si>
    <t>Docteur Claire BELLEUDY</t>
  </si>
  <si>
    <t>BELLEUDY</t>
  </si>
  <si>
    <t>40, Rue Charles de Gaulle</t>
  </si>
  <si>
    <t>Docteur Claire BELLEUDY
40, Rue Charles de Gaulle
95270 LUZARCHES</t>
  </si>
  <si>
    <t>Ma Chère Claire,</t>
  </si>
  <si>
    <t>36;204</t>
  </si>
  <si>
    <t>GEN_0031</t>
  </si>
  <si>
    <t>Docteur Claudie DUVAL KUBACH</t>
  </si>
  <si>
    <t>Claudie</t>
  </si>
  <si>
    <t>DUVAL KUBACH</t>
  </si>
  <si>
    <t>4 allée du 13-Août-1944</t>
  </si>
  <si>
    <t>60430</t>
  </si>
  <si>
    <t>NOAILLES</t>
  </si>
  <si>
    <t>Docteur Claudie DUVAL KUBACH
4 allée du 13-Août-1944
60430 NOAILLES</t>
  </si>
  <si>
    <t>37;38;58</t>
  </si>
  <si>
    <t>GEN_0032</t>
  </si>
  <si>
    <t>Docteur Ahmad SIMO</t>
  </si>
  <si>
    <t>Ahmad</t>
  </si>
  <si>
    <t>SIMO</t>
  </si>
  <si>
    <t>3, chemin des Sources</t>
  </si>
  <si>
    <t>Docteur Ahmad SIMO
Clinique CONTI
3, chemin des Sources
95290 L’Isle-Adam</t>
  </si>
  <si>
    <t>39</t>
  </si>
  <si>
    <t>GEN_0033</t>
  </si>
  <si>
    <t>Docteur Daniel VANNAXAY</t>
  </si>
  <si>
    <t>Daniel</t>
  </si>
  <si>
    <t>VANNAXAY</t>
  </si>
  <si>
    <t>24, rue Victor Basch</t>
  </si>
  <si>
    <t>95190</t>
  </si>
  <si>
    <t>GOUSSAINVILLE</t>
  </si>
  <si>
    <t>Docteur Daniel VANNAXAY
24, rue Victor Basch
95190 Goussainville</t>
  </si>
  <si>
    <t>40;141</t>
  </si>
  <si>
    <t>GEN_0034</t>
  </si>
  <si>
    <t>Docteur William DEKESSUEDEM</t>
  </si>
  <si>
    <t>William</t>
  </si>
  <si>
    <t>DEKESSUEDEM</t>
  </si>
  <si>
    <t>14 rue de Paris</t>
  </si>
  <si>
    <t>SAINT-BRICE-SOUS-FORÊT</t>
  </si>
  <si>
    <t>Docteur William DEKESSUEDEM
14 rue de Paris
95350 SAINT-BRICE-SOUS-FORÊT</t>
  </si>
  <si>
    <t>41</t>
  </si>
  <si>
    <t>GEN_0035</t>
  </si>
  <si>
    <t>Docteur Aline DELERUE</t>
  </si>
  <si>
    <t>DELERUE</t>
  </si>
  <si>
    <t>185 CHAUSSÉE TRAVERSIÈRE</t>
  </si>
  <si>
    <t>60600</t>
  </si>
  <si>
    <t>AGNETZ</t>
  </si>
  <si>
    <t>Docteur Aline DELERUE
185 CHAUSSÉE TRAVERSIÈRE
60600 AGNETZ</t>
  </si>
  <si>
    <t>42</t>
  </si>
  <si>
    <t>GEN_0036</t>
  </si>
  <si>
    <t>Docteur Denis MARTIN</t>
  </si>
  <si>
    <t>Denis</t>
  </si>
  <si>
    <t>MARTIN</t>
  </si>
  <si>
    <t>37, rue du Général Empain</t>
  </si>
  <si>
    <t>95570</t>
  </si>
  <si>
    <t>BOUFFÉMONT</t>
  </si>
  <si>
    <t>Docteur Denis MARTIN
37, rue du Général Empain
95570 Bouffémont</t>
  </si>
  <si>
    <t>44</t>
  </si>
  <si>
    <t>GEN_0037</t>
  </si>
  <si>
    <t>Docteur Diane BODEZ</t>
  </si>
  <si>
    <t>Diane</t>
  </si>
  <si>
    <t>BODEZ</t>
  </si>
  <si>
    <t>32 avenue des Moulins Gémeaux</t>
  </si>
  <si>
    <t>93207</t>
  </si>
  <si>
    <t>SAINT-DENIS</t>
  </si>
  <si>
    <t>Docteur Diane BODEZ
Centre Cardiologique du Nord
32 avenue des Moulins Gémeaux
93207 SAINT-DENIS</t>
  </si>
  <si>
    <t>45</t>
  </si>
  <si>
    <t>GEN_0038</t>
  </si>
  <si>
    <t>Docteur Didier LECLERE</t>
  </si>
  <si>
    <t>Didier</t>
  </si>
  <si>
    <t>LECLERE</t>
  </si>
  <si>
    <t>14 rue Jean Jaurès</t>
  </si>
  <si>
    <t>60570</t>
  </si>
  <si>
    <t>ANDEVILLE</t>
  </si>
  <si>
    <t>Docteur Didier LECLERE
14 rue Jean Jaurès
60570 ANDEVILLE</t>
  </si>
  <si>
    <t>46;47</t>
  </si>
  <si>
    <t>GEN_0039</t>
  </si>
  <si>
    <t>Docteur Didier PENNEROUX</t>
  </si>
  <si>
    <t>PENNEROUX</t>
  </si>
  <si>
    <t>80, rue Jean Jaurès</t>
  </si>
  <si>
    <t>Docteur Didier PENNEROUX
80, rue Jean Jaurès
60570 Andeville</t>
  </si>
  <si>
    <t>Mon Cher Didier,</t>
  </si>
  <si>
    <t>48;206;253</t>
  </si>
  <si>
    <t>GEN_0040</t>
  </si>
  <si>
    <t>Docteur Aïda DJOULFAYAN</t>
  </si>
  <si>
    <t>Aïda</t>
  </si>
  <si>
    <t>DJOULFAYAN</t>
  </si>
  <si>
    <t>7, avenue de Choiseul</t>
  </si>
  <si>
    <t>ARNOUVILLE</t>
  </si>
  <si>
    <t>Docteur Aïda DJOULFAYAN
7, avenue de Choiseul
95400 ARNOUVILLE</t>
  </si>
  <si>
    <t>49</t>
  </si>
  <si>
    <t>GEN_0041</t>
  </si>
  <si>
    <t>Docteur Docteur PALOMBI</t>
  </si>
  <si>
    <t>PALOMBI</t>
  </si>
  <si>
    <t>32 avenue des Moulions Gémeaux</t>
  </si>
  <si>
    <t>Docteur Docteur PALOMBI
Centre Cardiologique du Nord
32 avenue des Moulions Gémeaux
93207 SAINT-DENIS</t>
  </si>
  <si>
    <t>50</t>
  </si>
  <si>
    <t>GEN_0042</t>
  </si>
  <si>
    <t>Docteur Docteur TIRVEILLIOT</t>
  </si>
  <si>
    <t>TIRVEILLIOT</t>
  </si>
  <si>
    <t>61 avenue Fernand FOURCADE</t>
  </si>
  <si>
    <t>95660</t>
  </si>
  <si>
    <t>MONTSOULT</t>
  </si>
  <si>
    <t>Docteur Docteur TIRVEILLIOT
61 avenue Fernand FOURCADE
95660 MONTSOULT</t>
  </si>
  <si>
    <t>51</t>
  </si>
  <si>
    <t>GEN_0043</t>
  </si>
  <si>
    <t>Docteur Dominique RAMIS</t>
  </si>
  <si>
    <t>Dominique</t>
  </si>
  <si>
    <t>RAMIS</t>
  </si>
  <si>
    <t>Santa Piana</t>
  </si>
  <si>
    <t>SAGONE</t>
  </si>
  <si>
    <t>Docteur Dominique RAMIS
Santa Piana
20118 SAGONE</t>
  </si>
  <si>
    <t>52</t>
  </si>
  <si>
    <t>https://www.doctolib.fr/medecin-generaliste/coggia/dominique-ramis</t>
  </si>
  <si>
    <t>GEN_0044</t>
  </si>
  <si>
    <t>Docteur Jérémy DRAY</t>
  </si>
  <si>
    <t>Jérémy</t>
  </si>
  <si>
    <t>DRAY</t>
  </si>
  <si>
    <t>Chirurgien-dentiste</t>
  </si>
  <si>
    <t>135 rue de Conflans</t>
  </si>
  <si>
    <t>95220</t>
  </si>
  <si>
    <t>HERBLAY</t>
  </si>
  <si>
    <t>Docteur Jérémy DRAY
Chirurgien-dentiste
135 rue de Conflans
95220 HERBLAY</t>
  </si>
  <si>
    <t>53</t>
  </si>
  <si>
    <t>GEN_0045</t>
  </si>
  <si>
    <t>Docteur Jean-Philippe DRUO</t>
  </si>
  <si>
    <t>Jean-Philippe</t>
  </si>
  <si>
    <t>DRUO</t>
  </si>
  <si>
    <t>Hôpital NOVO – Site de Pontoise</t>
  </si>
  <si>
    <t>6 avenue de l’Ile de France</t>
  </si>
  <si>
    <t>95300</t>
  </si>
  <si>
    <t>PONTOISE</t>
  </si>
  <si>
    <t>01.30.75.40.40</t>
  </si>
  <si>
    <t>Docteur Jean-Philippe DRUO
Hôpital NOVO – Site de Pontoise
6 avenue de l’Ile de France
95300 PONTOISE
Tel : 01.30.75.40.40</t>
  </si>
  <si>
    <t>54</t>
  </si>
  <si>
    <t>GEN_0046</t>
  </si>
  <si>
    <t>Docteur Renan DUBOIS ROUSSEL</t>
  </si>
  <si>
    <t>Renan</t>
  </si>
  <si>
    <t>DUBOIS ROUSSEL</t>
  </si>
  <si>
    <t>Docteur Renan DUBOIS ROUSSEL
1, rue Jeanne Planche
95150 TAVERNY</t>
  </si>
  <si>
    <t>55;122</t>
  </si>
  <si>
    <t>GEN_0047</t>
  </si>
  <si>
    <t>Docteur Quentin DUFOUR</t>
  </si>
  <si>
    <t>Quentin</t>
  </si>
  <si>
    <t>DUFOUR</t>
  </si>
  <si>
    <t>2, Rue Nicolas KICHKINE</t>
  </si>
  <si>
    <t>95580</t>
  </si>
  <si>
    <t>MARGENCY</t>
  </si>
  <si>
    <t>Docteur Quentin DUFOUR
2, Rue Nicolas KICHKINE
95580 MARGENCY</t>
  </si>
  <si>
    <t>56</t>
  </si>
  <si>
    <t>GEN_0048</t>
  </si>
  <si>
    <t>Docteur Dupuy Sabrina</t>
  </si>
  <si>
    <t>Dupuy</t>
  </si>
  <si>
    <t>Sabrina</t>
  </si>
  <si>
    <t>18 bis rue du Docteur Goldstein</t>
  </si>
  <si>
    <t>95410</t>
  </si>
  <si>
    <t>GROSLAY</t>
  </si>
  <si>
    <t>Docteur Dupuy Sabrina
18 bis rue du Docteur Goldstein
95410 Groslay</t>
  </si>
  <si>
    <t>57</t>
  </si>
  <si>
    <t>GEN_0049</t>
  </si>
  <si>
    <t>Docteur Jean DUVIVIER</t>
  </si>
  <si>
    <t>Jean</t>
  </si>
  <si>
    <t>DUVIVIER</t>
  </si>
  <si>
    <t>24 rue Montalet</t>
  </si>
  <si>
    <t>AMBLAINVILLE</t>
  </si>
  <si>
    <t>Docteur Jean DUVIVIER
24 rue Montalet
60110 AMBLAINVILLE</t>
  </si>
  <si>
    <t>59</t>
  </si>
  <si>
    <t>https://www.keldoc.com/medecin-generaliste/amblainville-60110/jean-duvivier</t>
  </si>
  <si>
    <t>GEN_0050</t>
  </si>
  <si>
    <t>Docteur Moomen EL HRAIECH</t>
  </si>
  <si>
    <t>Moomen</t>
  </si>
  <si>
    <t>EL HRAIECH</t>
  </si>
  <si>
    <t>Maison Médicale des Arcades</t>
  </si>
  <si>
    <t>100 Avenue Jacques Vogt</t>
  </si>
  <si>
    <t>95340</t>
  </si>
  <si>
    <t>PERSAN</t>
  </si>
  <si>
    <t>Docteur Moomen EL HRAIECH
Maison Médicale des Arcades
100 Avenue Jacques Vogt
95340 PERSAN</t>
  </si>
  <si>
    <t>60;208;231</t>
  </si>
  <si>
    <t>GEN_0051</t>
  </si>
  <si>
    <t>Docteur Abass EL HUSSEINI</t>
  </si>
  <si>
    <t>Abass</t>
  </si>
  <si>
    <t>EL HUSSEINI</t>
  </si>
  <si>
    <t>Ophtalmologiste</t>
  </si>
  <si>
    <t>Docteur Abass EL HUSSEINI
Ophtalmologiste
95190 GOUSSAINVILLE</t>
  </si>
  <si>
    <t>61</t>
  </si>
  <si>
    <t>GEN_0052</t>
  </si>
  <si>
    <t>Docteur Emmanuel BONTEMPS</t>
  </si>
  <si>
    <t>Emmanuel</t>
  </si>
  <si>
    <t>BONTEMPS</t>
  </si>
  <si>
    <t>16 bis, rue d'Estienne d'Orves</t>
  </si>
  <si>
    <t>Docteur Emmanuel BONTEMPS
16 bis, rue d'Estienne d'Orves
95340 Persan</t>
  </si>
  <si>
    <t>Mon Cher Emmanuel,</t>
  </si>
  <si>
    <t>62;210</t>
  </si>
  <si>
    <t>GEN_0053</t>
  </si>
  <si>
    <t>Docteur William ESCANDE</t>
  </si>
  <si>
    <t>ESCANDE</t>
  </si>
  <si>
    <t>Centre Cardiologique du Nord</t>
  </si>
  <si>
    <t>Docteur William ESCANDE
Centre Cardiologique du Nord
32 avenue des Moulins Gémeaux
93207 SAINT-DENIS</t>
  </si>
  <si>
    <t>Mon Cher William,</t>
  </si>
  <si>
    <t>63</t>
  </si>
  <si>
    <t>GEN_0054</t>
  </si>
  <si>
    <t>Docteur Faouzia ABDELMALEK</t>
  </si>
  <si>
    <t>Faouzia</t>
  </si>
  <si>
    <t>ABDELMALEK</t>
  </si>
  <si>
    <t>Pôle médical de Taverny</t>
  </si>
  <si>
    <t>Docteur Faouzia ABDELMALEK
Pôle médical de Taverny
1, rue Jeanne Planche
95150 Taverny</t>
  </si>
  <si>
    <t>64;174</t>
  </si>
  <si>
    <t>GEN_0055</t>
  </si>
  <si>
    <t>Docteur Fatima OUAYACH</t>
  </si>
  <si>
    <t>Fatima</t>
  </si>
  <si>
    <t>OUAYACH</t>
  </si>
  <si>
    <t>3, rue du Plessis-Bouchard</t>
  </si>
  <si>
    <t>MONTIGNY-LÈS-CORMEILLES</t>
  </si>
  <si>
    <t>Docteur Fatima OUAYACH
3, rue du Plessis-Bouchard
95370 MONTIGNY-LÈS-CORMEILLES</t>
  </si>
  <si>
    <t>65</t>
  </si>
  <si>
    <t>https://www.sante.fr/medecine-generale/montigny-les-cormeilles/dr-ouayach-fatima</t>
  </si>
  <si>
    <t>GEN_0056</t>
  </si>
  <si>
    <t>Docteur Joana FERREIRA</t>
  </si>
  <si>
    <t>Joana</t>
  </si>
  <si>
    <t>FERREIRA</t>
  </si>
  <si>
    <t>34 rue du Haut de SENLIS</t>
  </si>
  <si>
    <t>95470</t>
  </si>
  <si>
    <t>SAINT-WITZ</t>
  </si>
  <si>
    <t>Docteur Joana FERREIRA
34 rue du Haut de SENLIS
95470 SAINT-WITZ</t>
  </si>
  <si>
    <t>66</t>
  </si>
  <si>
    <t>GEN_0057</t>
  </si>
  <si>
    <t>Docteur Florent-Alexis BARONE</t>
  </si>
  <si>
    <t>Florent-Alexis</t>
  </si>
  <si>
    <t>BARONE</t>
  </si>
  <si>
    <t>Maison de santé Les Argiles</t>
  </si>
  <si>
    <t>483, avenue du Maréchal-Foch</t>
  </si>
  <si>
    <t>60390</t>
  </si>
  <si>
    <t>AUNEUIL</t>
  </si>
  <si>
    <t>Docteur Florent-Alexis BARONE
Maison de santé Les Argiles
483, avenue du Maréchal-Foch
60390 AUNEUIL</t>
  </si>
  <si>
    <t>67</t>
  </si>
  <si>
    <t>GEN_0058</t>
  </si>
  <si>
    <t>Docteur Franck ADJAHOUNKPAN</t>
  </si>
  <si>
    <t>Franck</t>
  </si>
  <si>
    <t>ADJAHOUNKPAN</t>
  </si>
  <si>
    <t>134, avenue Jean-Sébastien-Bach</t>
  </si>
  <si>
    <t>Docteur Franck ADJAHOUNKPAN
134, avenue Jean-Sébastien-Bach
60110 MÉRU</t>
  </si>
  <si>
    <t>68</t>
  </si>
  <si>
    <t>GEN_0059</t>
  </si>
  <si>
    <t>Docteur Marie-Josée FRANCO</t>
  </si>
  <si>
    <t>Marie-Josée</t>
  </si>
  <si>
    <t>FRANCO</t>
  </si>
  <si>
    <t>35, Grande Rue</t>
  </si>
  <si>
    <t>95630</t>
  </si>
  <si>
    <t>MERIEL</t>
  </si>
  <si>
    <t>Docteur Marie-Josée FRANCO
35, Grande Rue
95630 MERIEL</t>
  </si>
  <si>
    <t>69</t>
  </si>
  <si>
    <t>GEN_0060</t>
  </si>
  <si>
    <t>Docteur Frédéric LECLERC</t>
  </si>
  <si>
    <t>Frédéric</t>
  </si>
  <si>
    <t>LECLERC</t>
  </si>
  <si>
    <t>32, Rue du Général Leclerc</t>
  </si>
  <si>
    <t>60260</t>
  </si>
  <si>
    <t>LAMORLAYE</t>
  </si>
  <si>
    <t>Docteur Frédéric LECLERC
32, Rue du Général Leclerc
60 260 LAMORLAYE</t>
  </si>
  <si>
    <t>70</t>
  </si>
  <si>
    <t>GEN_0061</t>
  </si>
  <si>
    <t>Docteur Gaston Pierre BONIN</t>
  </si>
  <si>
    <t>Gaston</t>
  </si>
  <si>
    <t>Pierre BONIN</t>
  </si>
  <si>
    <t>Pôle de santé- RD 316</t>
  </si>
  <si>
    <t>CHAUMONTEL</t>
  </si>
  <si>
    <t>Docteur Gaston Pierre BONIN
Pôle de santé- RD 316
95270 CHAUMONTEL</t>
  </si>
  <si>
    <t>71</t>
  </si>
  <si>
    <t>GEN_0062</t>
  </si>
  <si>
    <t>Docteur Geoffroy GARCETTE</t>
  </si>
  <si>
    <t>Geoffroy</t>
  </si>
  <si>
    <t>GARCETTE</t>
  </si>
  <si>
    <t>7 bis, rue Raymond-Poincaré</t>
  </si>
  <si>
    <t>Docteur Geoffroy GARCETTE
7 bis, rue Raymond-Poincaré
95620 PARMAIN</t>
  </si>
  <si>
    <t>Mon Cher Geoffroy</t>
  </si>
  <si>
    <t>72</t>
  </si>
  <si>
    <t>GEN_0063</t>
  </si>
  <si>
    <t>Docteur Gérard OSTROWKA</t>
  </si>
  <si>
    <t>Gérard</t>
  </si>
  <si>
    <t>OSTROWKA</t>
  </si>
  <si>
    <t>3 Avenue du Lycée</t>
  </si>
  <si>
    <t>95330</t>
  </si>
  <si>
    <t>DOMONT</t>
  </si>
  <si>
    <t>Docteur Gérard OSTROWKA
3 Avenue du Lycée
95330 DOMONT</t>
  </si>
  <si>
    <t>73</t>
  </si>
  <si>
    <t>GEN_0064</t>
  </si>
  <si>
    <t>Docteur Gilda-Alina CIOVICA</t>
  </si>
  <si>
    <t>Gilda-Alina</t>
  </si>
  <si>
    <t>CIOVICA</t>
  </si>
  <si>
    <t>2, rue du Baron Duchaussoy</t>
  </si>
  <si>
    <t>Docteur Gilda-Alina CIOVICA
2, rue du Baron Duchaussoy
95330 Domont</t>
  </si>
  <si>
    <t>74</t>
  </si>
  <si>
    <t>GEN_0065</t>
  </si>
  <si>
    <t>Docteur Hugo GONZALEZ</t>
  </si>
  <si>
    <t>Hugo</t>
  </si>
  <si>
    <t>GONZALEZ</t>
  </si>
  <si>
    <t>Service d’hématologie – Hôpital NOVO, site de Pontoise</t>
  </si>
  <si>
    <t>6, avenue de l’Île-de-France</t>
  </si>
  <si>
    <t>Docteur Hugo GONZALEZ
Service d’hématologie – Hôpital NOVO, site de Pontoise
6, avenue de l’Île-de-France
95300 PONTOISE</t>
  </si>
  <si>
    <t>75</t>
  </si>
  <si>
    <t>Ordre prénom/nom corrigé : Hugo GONZALEZ.</t>
  </si>
  <si>
    <t>https://www.cng.sante.fr/sites/default/files/media/2024-04/LISTE%20HU%20ET%20PH%201104-avec%20compression.pdf
https://hopital-novo.fr/ch-pontoise/acces/</t>
  </si>
  <si>
    <t>GEN_0066</t>
  </si>
  <si>
    <t>Docteur Jean GUILLOT</t>
  </si>
  <si>
    <t>GUILLOT</t>
  </si>
  <si>
    <t>20, avenue de la Gare</t>
  </si>
  <si>
    <t>95250</t>
  </si>
  <si>
    <t>BEAUCHAMP</t>
  </si>
  <si>
    <t>Docteur Jean GUILLOT
20, avenue de la Gare
95250 BEAUCHAMP</t>
  </si>
  <si>
    <t>76</t>
  </si>
  <si>
    <t>Jean retenu : fiche officielle à cette adresse et formule d’appel masculine dans le fichier.</t>
  </si>
  <si>
    <t>https://www.sante.fr/medecine-generale/beauchamp/dr-guillot-jean</t>
  </si>
  <si>
    <t>GEN_0067</t>
  </si>
  <si>
    <t>Docteur Zina HAMI</t>
  </si>
  <si>
    <t>Zina</t>
  </si>
  <si>
    <t>HAMI</t>
  </si>
  <si>
    <t>16, rue de l’Isle-Adam</t>
  </si>
  <si>
    <t>Docteur Zina HAMI
16, rue de l’Isle-Adam
95260 BEAUMONT-SUR-OISE</t>
  </si>
  <si>
    <t>Ma Chère Zina</t>
  </si>
  <si>
    <t>77</t>
  </si>
  <si>
    <t>https://www.sante.fr/medecine-generale/beaumont-sur-oise/dr-hami-zina</t>
  </si>
  <si>
    <t>GEN_0068</t>
  </si>
  <si>
    <t>Docteur Henri-Luc THIERY</t>
  </si>
  <si>
    <t>Henri-Luc</t>
  </si>
  <si>
    <t>THIERY</t>
  </si>
  <si>
    <t>Docteur Henri-Luc THIERY
7 bis, rue Raymond-Poincaré
95620 PARMAIN</t>
  </si>
  <si>
    <t>Mon Cher Henri-Luc</t>
  </si>
  <si>
    <t>78</t>
  </si>
  <si>
    <t>GEN_0069</t>
  </si>
  <si>
    <t>Docteur Sylvain HERGOT</t>
  </si>
  <si>
    <t>Sylvain</t>
  </si>
  <si>
    <t>HERGOT</t>
  </si>
  <si>
    <t>5 Grande Rue</t>
  </si>
  <si>
    <t>Docteur Sylvain HERGOT
5 Grande Rue
95290 L’ISLE-ADAM</t>
  </si>
  <si>
    <t>79</t>
  </si>
  <si>
    <t>https://www.sante.fr/medecine-generale/lisle-adam/dr-hergot-sylvain</t>
  </si>
  <si>
    <t>GEN_0070</t>
  </si>
  <si>
    <t>Docteur HSIBE Mélanie</t>
  </si>
  <si>
    <t>Mélanie</t>
  </si>
  <si>
    <t>HSIBE</t>
  </si>
  <si>
    <t>1 Allée du Couvent</t>
  </si>
  <si>
    <t>56590</t>
  </si>
  <si>
    <t>GROIX</t>
  </si>
  <si>
    <t>Docteur HSIBE Mélanie
1 Allée du Couvent
56590 GROIX</t>
  </si>
  <si>
    <t>80</t>
  </si>
  <si>
    <t>GEN_0071</t>
  </si>
  <si>
    <t>Docteur Jean JUPIN</t>
  </si>
  <si>
    <t>JUPIN</t>
  </si>
  <si>
    <t>Hôpital Bertinot Juel</t>
  </si>
  <si>
    <t>34 bis, rue Pierre Budin</t>
  </si>
  <si>
    <t>CHAUMONT-EN-VEXIN</t>
  </si>
  <si>
    <t>Docteur Jean JUPIN
Hôpital Bertinot Juel
34 bis, rue Pierre Budin
60240 CHAUMONT-EN-VEXIN</t>
  </si>
  <si>
    <t>82</t>
  </si>
  <si>
    <t>https://www.doctolib.fr/medecin-generaliste/chaumont-en-vexin/jean-jupin</t>
  </si>
  <si>
    <t>GEN_0072</t>
  </si>
  <si>
    <t>Docteur Jean-Baptiste ETTORI</t>
  </si>
  <si>
    <t>Jean-Baptiste</t>
  </si>
  <si>
    <t>ETTORI</t>
  </si>
  <si>
    <t>3 bis, rue des Petits Prés</t>
  </si>
  <si>
    <t>60660</t>
  </si>
  <si>
    <t>CIRES-LÈS-MELLO</t>
  </si>
  <si>
    <t>Docteur Jean-Baptiste ETTORI
3 bis, rue des Petits Prés
60660 Cires-lès-Mello</t>
  </si>
  <si>
    <t>83</t>
  </si>
  <si>
    <t>GEN_0073</t>
  </si>
  <si>
    <t>Docteur Jean-Paul SEBAG</t>
  </si>
  <si>
    <t>Jean-Paul</t>
  </si>
  <si>
    <t>SEBAG</t>
  </si>
  <si>
    <t>11, rue de l’Aiguillon</t>
  </si>
  <si>
    <t>95280</t>
  </si>
  <si>
    <t>JOUY-LE-MOUTIER</t>
  </si>
  <si>
    <t>Docteur Jean-Paul SEBAG
11, rue de l’Aiguillon
95280 Jouy-le-Moutier</t>
  </si>
  <si>
    <t>84</t>
  </si>
  <si>
    <t>GEN_0074</t>
  </si>
  <si>
    <t>Docteur Jenna GAUDIN</t>
  </si>
  <si>
    <t>Jenna</t>
  </si>
  <si>
    <t>GAUDIN</t>
  </si>
  <si>
    <t>2 allée Sophie</t>
  </si>
  <si>
    <t>ASNIÈRES-SUR-OISE</t>
  </si>
  <si>
    <t>Docteur Jenna GAUDIN
2 allée Sophie
95270 ASNIÈRES-SUR-OISE</t>
  </si>
  <si>
    <t>85;86</t>
  </si>
  <si>
    <t>GEN_0075</t>
  </si>
  <si>
    <t>Docteur Jérôme CREUZET</t>
  </si>
  <si>
    <t>Jérôme</t>
  </si>
  <si>
    <t>CREUZET</t>
  </si>
  <si>
    <t>Docteur Jérôme CREUZET
7 bis, rue Raymond Poincaré
95620 PARMAIN</t>
  </si>
  <si>
    <t>Mon Cher Jérôme,</t>
  </si>
  <si>
    <t>87</t>
  </si>
  <si>
    <t>GEN_0076</t>
  </si>
  <si>
    <t>Docteur Joseph ABIR</t>
  </si>
  <si>
    <t>Joseph</t>
  </si>
  <si>
    <t>ABIR</t>
  </si>
  <si>
    <t>Clinique du Parc</t>
  </si>
  <si>
    <t>23, rue des Frères Capucins</t>
  </si>
  <si>
    <t>SAINT-OUEN-L’AUMÔNE</t>
  </si>
  <si>
    <t>Docteur Joseph ABIR
Clinique du Parc
23, rue des Frères Capucins
95310 SAINT-OUEN-L’AUMÔNE</t>
  </si>
  <si>
    <t>Ma Chère Abir,</t>
  </si>
  <si>
    <t>88</t>
  </si>
  <si>
    <t>Ordre prénom/nom corrigé : Joseph ABIR.</t>
  </si>
  <si>
    <t>https://www.sante.fr/endocrinologie/saint-ouen-laumone/dr-joseph-abir</t>
  </si>
  <si>
    <t>GEN_0077</t>
  </si>
  <si>
    <t>Docteur JOUY Didier</t>
  </si>
  <si>
    <t>JOUY</t>
  </si>
  <si>
    <t>26, Rue Jean LECLAIRE</t>
  </si>
  <si>
    <t>Docteur JOUY Didier
26, Rue Jean LECLAIRE
95220 HERBLAY</t>
  </si>
  <si>
    <t>89</t>
  </si>
  <si>
    <t>GEN_0078</t>
  </si>
  <si>
    <t>Docteur Juliette ROUSSEAU</t>
  </si>
  <si>
    <t>Juliette</t>
  </si>
  <si>
    <t>ROUSSEAU</t>
  </si>
  <si>
    <t>32, avenue des Moulins Gémeaux</t>
  </si>
  <si>
    <t>Docteur Juliette ROUSSEAU
Centre Cardiologique du Nord
32, avenue des Moulins Gémeaux
93207 Saint-Denis</t>
  </si>
  <si>
    <t>Ma Chère Juliette,</t>
  </si>
  <si>
    <t>90</t>
  </si>
  <si>
    <t>GEN_0079</t>
  </si>
  <si>
    <t>Docteur Karine CUVELIER</t>
  </si>
  <si>
    <t>Karine</t>
  </si>
  <si>
    <t>CUVELIER</t>
  </si>
  <si>
    <t>2, rue de l’Église</t>
  </si>
  <si>
    <t>ANDILLY</t>
  </si>
  <si>
    <t>Docteur Karine CUVELIER
Clinique Les Orchidées
2, rue de l’Église
95580 ANDILLY</t>
  </si>
  <si>
    <t>91</t>
  </si>
  <si>
    <t>GEN_0080</t>
  </si>
  <si>
    <t>Docteur Katia TIRVEILLIOT</t>
  </si>
  <si>
    <t>Katia</t>
  </si>
  <si>
    <t>61, avenue Fernand Fourcade</t>
  </si>
  <si>
    <t>95560</t>
  </si>
  <si>
    <t>Docteur Katia TIRVEILLIOT
61, avenue Fernand Fourcade
95560 Montsoult</t>
  </si>
  <si>
    <t>92;179</t>
  </si>
  <si>
    <t>GEN_0081</t>
  </si>
  <si>
    <t>Docteur Kerjean Guillaume</t>
  </si>
  <si>
    <t>Kerjean</t>
  </si>
  <si>
    <t>Guillaume</t>
  </si>
  <si>
    <t>1 résidence les reflets d’Arvor</t>
  </si>
  <si>
    <t>56190</t>
  </si>
  <si>
    <t>LA TRINITÉ SURZUR</t>
  </si>
  <si>
    <t>Docteur Kerjean Guillaume
1 résidence les reflets d’Arvor
56190 la Trinité Surzur</t>
  </si>
  <si>
    <t>93</t>
  </si>
  <si>
    <t>GEN_0082</t>
  </si>
  <si>
    <t>Docteur Kirushaanty YOGESPARAN</t>
  </si>
  <si>
    <t>Kirushaanty</t>
  </si>
  <si>
    <t>YOGESPARAN</t>
  </si>
  <si>
    <t>6, allée Jean-de-La-Fontaine</t>
  </si>
  <si>
    <t>Docteur Kirushaanty YOGESPARAN
6, allée Jean-de-La-Fontaine
95350 SAINT-BRICE-SOUS-FORÊT</t>
  </si>
  <si>
    <t>94;148</t>
  </si>
  <si>
    <t>GEN_0083</t>
  </si>
  <si>
    <t>Docteur Laurence LAVENU</t>
  </si>
  <si>
    <t>Laurence</t>
  </si>
  <si>
    <t>LAVENU</t>
  </si>
  <si>
    <t>47, Rue de Paris</t>
  </si>
  <si>
    <t>27140</t>
  </si>
  <si>
    <t>GISORS</t>
  </si>
  <si>
    <t>Docteur Laurence LAVENU
47, Rue de Paris
27 140 GISORS</t>
  </si>
  <si>
    <t>95</t>
  </si>
  <si>
    <t>GEN_0084</t>
  </si>
  <si>
    <t>Docteur Matthieu LE NORMAND</t>
  </si>
  <si>
    <t>Matthieu</t>
  </si>
  <si>
    <t>LE NORMAND</t>
  </si>
  <si>
    <t>2, Rue Alcide de GASPÉRI</t>
  </si>
  <si>
    <t>Docteur Matthieu LE NORMAND
2, Rue Alcide de GASPÉRI
60000 BEAUVAIS</t>
  </si>
  <si>
    <t>96</t>
  </si>
  <si>
    <t>GEN_0085</t>
  </si>
  <si>
    <t>Docteur Nathalie LEDRU</t>
  </si>
  <si>
    <t>Nathalie</t>
  </si>
  <si>
    <t>LEDRU</t>
  </si>
  <si>
    <t>2, Rue Gabriel Bertin</t>
  </si>
  <si>
    <t>95130</t>
  </si>
  <si>
    <t>FRANCONVILLE</t>
  </si>
  <si>
    <t>Docteur Nathalie LEDRU
2, Rue Gabriel Bertin
95130 FRANCONVILLE</t>
  </si>
  <si>
    <t>97</t>
  </si>
  <si>
    <t>GEN_0086</t>
  </si>
  <si>
    <t>Docteur Lucette ASENSIO</t>
  </si>
  <si>
    <t>Lucette</t>
  </si>
  <si>
    <t>ASENSIO</t>
  </si>
  <si>
    <t>14 rue des martyrs</t>
  </si>
  <si>
    <t>MERU</t>
  </si>
  <si>
    <t>Docteur Lucette ASENSIO
14 rue des martyrs
60110 MERU</t>
  </si>
  <si>
    <t>98;99</t>
  </si>
  <si>
    <t>GEN_0087</t>
  </si>
  <si>
    <t>Docteur Lucie GINOUX</t>
  </si>
  <si>
    <t>Lucie</t>
  </si>
  <si>
    <t>GINOUX</t>
  </si>
  <si>
    <t>30, Rue Jean Biondi</t>
  </si>
  <si>
    <t>LAMORLAYE-PRÉCY</t>
  </si>
  <si>
    <t>Docteur Lucie GINOUX
30, Rue Jean Biondi
60 260 LAMORLAYE-PRÉCY</t>
  </si>
  <si>
    <t>100</t>
  </si>
  <si>
    <t>GEN_0088</t>
  </si>
  <si>
    <t>Docteur Lucie MANCHERON</t>
  </si>
  <si>
    <t>MANCHERON</t>
  </si>
  <si>
    <t>7 bis rue Raymond Poincaré</t>
  </si>
  <si>
    <t>Docteur Lucie MANCHERON
7 bis rue Raymond Poincaré
95620 PARMAIN</t>
  </si>
  <si>
    <t>Ma Chère Lucie,</t>
  </si>
  <si>
    <t>101</t>
  </si>
  <si>
    <t>GEN_0089</t>
  </si>
  <si>
    <t>Docteur Mame-Coumba DIAKHITE</t>
  </si>
  <si>
    <t>Mame-Coumba</t>
  </si>
  <si>
    <t>DIAKHITE</t>
  </si>
  <si>
    <t>12, Résidence au Bord de l’ESCHES</t>
  </si>
  <si>
    <t>60540</t>
  </si>
  <si>
    <t>BORNEL</t>
  </si>
  <si>
    <t>Docteur Mame-Coumba DIAKHITE
12, Résidence au Bord de l’ESCHES
60 540 BORNEL</t>
  </si>
  <si>
    <t>102</t>
  </si>
  <si>
    <t>GEN_0090</t>
  </si>
  <si>
    <t>Docteur Mathilde HEC</t>
  </si>
  <si>
    <t>Mathilde</t>
  </si>
  <si>
    <t>HEC</t>
  </si>
  <si>
    <t>Rue Roger Tagliana</t>
  </si>
  <si>
    <t>95430</t>
  </si>
  <si>
    <t>AUVERS-SUR-OISE</t>
  </si>
  <si>
    <t>Docteur Mathilde HEC
Rue Roger Tagliana
95430 AUVERS-SUR-OISE</t>
  </si>
  <si>
    <t>103</t>
  </si>
  <si>
    <t>GEN_0091</t>
  </si>
  <si>
    <t>Docteur Nirina MILIJAONA</t>
  </si>
  <si>
    <t>Nirina</t>
  </si>
  <si>
    <t>MILIJAONA</t>
  </si>
  <si>
    <t>Rue du docteur Grob</t>
  </si>
  <si>
    <t>45130</t>
  </si>
  <si>
    <t>SAINT AY</t>
  </si>
  <si>
    <t>Docteur Nirina MILIJAONA
Rue du docteur Grob
45130 SAINT AY</t>
  </si>
  <si>
    <t>104</t>
  </si>
  <si>
    <t>GEN_0092</t>
  </si>
  <si>
    <t>Docteur Jérôme MINNI</t>
  </si>
  <si>
    <t>MINNI</t>
  </si>
  <si>
    <t>Docteur Jérôme MINNI
16, rue de l’Isle-Adam
95260 BEAUMONT-SUR-OISE</t>
  </si>
  <si>
    <t>105</t>
  </si>
  <si>
    <t>https://www.sante.fr/medecine-generale/beaumont-sur-oise/dr-minni-jerome</t>
  </si>
  <si>
    <t>GEN_0093</t>
  </si>
  <si>
    <t>Docteur Natalia KAWIECKI-TABAGA</t>
  </si>
  <si>
    <t>Natalia</t>
  </si>
  <si>
    <t>KAWIECKI-TABAGA</t>
  </si>
  <si>
    <t>20, avenue Jacques Cartier</t>
  </si>
  <si>
    <t>Docteur Natalia KAWIECKI-TABAGA
20, avenue Jacques Cartier
60110 MÉRU</t>
  </si>
  <si>
    <t>106</t>
  </si>
  <si>
    <t>GEN_0094</t>
  </si>
  <si>
    <t>Docteur Nicolas Astrid</t>
  </si>
  <si>
    <t>Nicolas</t>
  </si>
  <si>
    <t>Astrid</t>
  </si>
  <si>
    <t>CMS de FOSSES - Marly la ville</t>
  </si>
  <si>
    <t>FOSSES</t>
  </si>
  <si>
    <t>Docteur Nicolas Astrid
CMS de FOSSES - Marly la ville
95 470 FOSSES</t>
  </si>
  <si>
    <t>107</t>
  </si>
  <si>
    <t>GEN_0095</t>
  </si>
  <si>
    <t>Docteur Nicolas ROCH</t>
  </si>
  <si>
    <t>ROCH</t>
  </si>
  <si>
    <t>Maison médicale des Vergers</t>
  </si>
  <si>
    <t>Centre commercial des Vergers</t>
  </si>
  <si>
    <t>Docteur Nicolas ROCH
Maison médicale des Vergers
Centre commercial des Vergers
95350 SAINT-BRICE-SOUS-FORÊT</t>
  </si>
  <si>
    <t>Madame, Monsieur,</t>
  </si>
  <si>
    <t>108</t>
  </si>
  <si>
    <t>https://www.sante.fr/medecine-generale/saint-brice-sous-foret/dr-roch-nicolas</t>
  </si>
  <si>
    <t>GEN_0096</t>
  </si>
  <si>
    <t>Docteur Noémie BERTRAND</t>
  </si>
  <si>
    <t>Noémie</t>
  </si>
  <si>
    <t>BERTRAND</t>
  </si>
  <si>
    <t>26, rue de Creil</t>
  </si>
  <si>
    <t>Docteur Noémie BERTRAND
26, rue de Creil
60500 CHANTILLY</t>
  </si>
  <si>
    <t>109</t>
  </si>
  <si>
    <t>GEN_0097</t>
  </si>
  <si>
    <t>Docteur Pascal SALADIN</t>
  </si>
  <si>
    <t>Pascal</t>
  </si>
  <si>
    <t>SALADIN</t>
  </si>
  <si>
    <t>6, rue Pasteur</t>
  </si>
  <si>
    <t>Docteur Pascal SALADIN
6, rue Pasteur
95330 DOMONT</t>
  </si>
  <si>
    <t>111</t>
  </si>
  <si>
    <t>GEN_0098</t>
  </si>
  <si>
    <t>Docteur Pascale MARQUILLY</t>
  </si>
  <si>
    <t>Pascale</t>
  </si>
  <si>
    <t>MARQUILLY</t>
  </si>
  <si>
    <t>13, rue Carnot</t>
  </si>
  <si>
    <t>80550</t>
  </si>
  <si>
    <t>LE CROTOY</t>
  </si>
  <si>
    <t>Docteur Pascale MARQUILLY
13, rue Carnot
80550 Le Crotoy</t>
  </si>
  <si>
    <t>112</t>
  </si>
  <si>
    <t>GEN_0099</t>
  </si>
  <si>
    <t>Docteur Patrice LOUIS</t>
  </si>
  <si>
    <t>Patrice</t>
  </si>
  <si>
    <t>LOUIS</t>
  </si>
  <si>
    <t>ASNIERES SUR OISE</t>
  </si>
  <si>
    <t>Docteur Patrice LOUIS
2 allée Sophie
95270 ASNIERES SUR OISE</t>
  </si>
  <si>
    <t>113</t>
  </si>
  <si>
    <t>GEN_0100</t>
  </si>
  <si>
    <t>Docteur Paul Cottu</t>
  </si>
  <si>
    <t>Paul</t>
  </si>
  <si>
    <t>Cottu</t>
  </si>
  <si>
    <t>Institut Curie</t>
  </si>
  <si>
    <t>26 Rue d’Ulm</t>
  </si>
  <si>
    <t>75005</t>
  </si>
  <si>
    <t>PARIS</t>
  </si>
  <si>
    <t>Docteur Paul Cottu
Institut Curie
26 Rue d’Ulm
75005 Paris</t>
  </si>
  <si>
    <t>114</t>
  </si>
  <si>
    <t>GEN_0101</t>
  </si>
  <si>
    <t>Docteur PAULINO</t>
  </si>
  <si>
    <t>PAULINO</t>
  </si>
  <si>
    <t>298, rue Herminie</t>
  </si>
  <si>
    <t>BURY</t>
  </si>
  <si>
    <t>Docteur PAULINO Céline
298, rue Herminie
60250 BURY</t>
  </si>
  <si>
    <t>115</t>
  </si>
  <si>
    <t>GEN_0102</t>
  </si>
  <si>
    <t>Docteur Philippe LEOURIER</t>
  </si>
  <si>
    <t>Philippe</t>
  </si>
  <si>
    <t>LEOURIER</t>
  </si>
  <si>
    <t>62 rue de Senlis</t>
  </si>
  <si>
    <t>Docteur Philippe LEOURIER
62 rue de Senlis
60230 CHAMBLY</t>
  </si>
  <si>
    <t>Mon Cher Philippe,</t>
  </si>
  <si>
    <t>116</t>
  </si>
  <si>
    <t>GEN_0103</t>
  </si>
  <si>
    <t>Docteur Pierre LARRIEU</t>
  </si>
  <si>
    <t>Pierre</t>
  </si>
  <si>
    <t>LARRIEU</t>
  </si>
  <si>
    <t>21 avenue M DASSAULT</t>
  </si>
  <si>
    <t>93370</t>
  </si>
  <si>
    <t>MONTFERMEIL</t>
  </si>
  <si>
    <t>Docteur Pierre LARRIEU
21 avenue M DASSAULT
93 370 MONTFERMEIL</t>
  </si>
  <si>
    <t>117</t>
  </si>
  <si>
    <t>GEN_0104</t>
  </si>
  <si>
    <t>Docteur Ponthieu Philippe</t>
  </si>
  <si>
    <t>Ponthieu</t>
  </si>
  <si>
    <t>Place Maurice Segonds</t>
  </si>
  <si>
    <t>60930</t>
  </si>
  <si>
    <t>BAILLEUL SUR THERAIN</t>
  </si>
  <si>
    <t>Docteur Ponthieu Philippe
Place Maurice Segonds
60930 BAILLEUL sur THERAIN</t>
  </si>
  <si>
    <t>118</t>
  </si>
  <si>
    <t>GEN_0105</t>
  </si>
  <si>
    <t>Docteur RABANY</t>
  </si>
  <si>
    <t>Thierry</t>
  </si>
  <si>
    <t>RABANY</t>
  </si>
  <si>
    <t>1 chemin de la Croisette</t>
  </si>
  <si>
    <t>95650</t>
  </si>
  <si>
    <t>BOISSY L’AILLERIE</t>
  </si>
  <si>
    <t>Docteur RABANY Thierry
1 chemin de la Croisette
95 650 BOISSY L’AILLERIE</t>
  </si>
  <si>
    <t>119</t>
  </si>
  <si>
    <t>GEN_0106</t>
  </si>
  <si>
    <t>Docteur Raphaël CAMUS</t>
  </si>
  <si>
    <t>Raphaël</t>
  </si>
  <si>
    <t>CAMUS</t>
  </si>
  <si>
    <t>7, Rue neuve</t>
  </si>
  <si>
    <t>68120</t>
  </si>
  <si>
    <t>BORAN SUR OISE</t>
  </si>
  <si>
    <t>Docteur Raphaël CAMUS
7, Rue neuve
68120 BORAN SUR OISE</t>
  </si>
  <si>
    <t>120</t>
  </si>
  <si>
    <t>GEN_0107</t>
  </si>
  <si>
    <t>Docteur RAPHAEL DE OLIVEIRA</t>
  </si>
  <si>
    <t>DE OLIVEIRA</t>
  </si>
  <si>
    <t>Docteur RAPHAEL DE OLIVEIRA
120, rue Raymond Joly
60230 CHAMBLY</t>
  </si>
  <si>
    <t>121</t>
  </si>
  <si>
    <t>GEN_0108</t>
  </si>
  <si>
    <t>Docteur SAGHROUN Yaël</t>
  </si>
  <si>
    <t>Yaël</t>
  </si>
  <si>
    <t>SAGHROUN</t>
  </si>
  <si>
    <t>85 Avenue Simon Bolivar</t>
  </si>
  <si>
    <t>75019</t>
  </si>
  <si>
    <t>Docteur SAGHROUN Yaël
85 Avenue Simon Bolivar
75019 PARIS</t>
  </si>
  <si>
    <t>123</t>
  </si>
  <si>
    <t>GEN_0109</t>
  </si>
  <si>
    <t>Docteur Sandrine THIELEN</t>
  </si>
  <si>
    <t>Sandrine</t>
  </si>
  <si>
    <t>THIELEN</t>
  </si>
  <si>
    <t>Route départementale 316</t>
  </si>
  <si>
    <t>Docteur Sandrine THIELEN
Route départementale 316
95270 CHAUMONTEL</t>
  </si>
  <si>
    <t>124;135</t>
  </si>
  <si>
    <t>GEN_0110</t>
  </si>
  <si>
    <t>Docteur Véronika SCHEITHE</t>
  </si>
  <si>
    <t>Véronika</t>
  </si>
  <si>
    <t>SCHEITHE</t>
  </si>
  <si>
    <t>8, rue Pillet-Will</t>
  </si>
  <si>
    <t>VIEUX-MOULIN</t>
  </si>
  <si>
    <t>Docteur Véronika SCHEITHE
8, rue Pillet-Will
60350 VIEUX-MOULIN</t>
  </si>
  <si>
    <t>125</t>
  </si>
  <si>
    <t>Orthographe et code postal corrigés : SCHEITHE, 60350.</t>
  </si>
  <si>
    <t>https://www.sante.fr/medecine-generale/vieux-moulin/dr-scheithe-veronika</t>
  </si>
  <si>
    <t>GEN_0111</t>
  </si>
  <si>
    <t>Docteur Simon ETTORI</t>
  </si>
  <si>
    <t>Simon</t>
  </si>
  <si>
    <t>7, rue Neuve</t>
  </si>
  <si>
    <t>60820</t>
  </si>
  <si>
    <t>BORAN-SUR-OISE</t>
  </si>
  <si>
    <t>Docteur Simon ETTORI
7, rue Neuve
60820 Boran-sur-Oise</t>
  </si>
  <si>
    <t>126;245</t>
  </si>
  <si>
    <t>GEN_0112</t>
  </si>
  <si>
    <t>Docteur Smaranda LEU SEMENESCU</t>
  </si>
  <si>
    <t>Smaranda</t>
  </si>
  <si>
    <t>LEU SEMENESCU</t>
  </si>
  <si>
    <t>Hôpital Pitié-Salpêtrière</t>
  </si>
  <si>
    <t>47-83, boulevard de l’Hôpital</t>
  </si>
  <si>
    <t>Docteur Smaranda LEU SEMENESCU
Hôpital Pitié-Salpêtrière
47-83, boulevard de l’Hôpital
75013 PARIS</t>
  </si>
  <si>
    <t>127</t>
  </si>
  <si>
    <t>Orthographe du nom corrigée : LEU SEMENESCU.</t>
  </si>
  <si>
    <t>https://www.aphp.fr/dr-leu-semenescu-smaranda</t>
  </si>
  <si>
    <t>GEN_0113</t>
  </si>
  <si>
    <t>Docteur Jose SOLIS TZAQUITZAL</t>
  </si>
  <si>
    <t>Jose</t>
  </si>
  <si>
    <t>SOLIS TZAQUITZAL</t>
  </si>
  <si>
    <t>97, Avenue de la république</t>
  </si>
  <si>
    <t>93800</t>
  </si>
  <si>
    <t>ÉPINAY-SUR-SEINE</t>
  </si>
  <si>
    <t>Docteur Jose SOLIS TZAQUITZAL
97, Avenue de la république
93800 ÉPINAY-SUR-SEINE</t>
  </si>
  <si>
    <t>128</t>
  </si>
  <si>
    <t>Nom complet officiel : SOLIS TZAQUITZAL.</t>
  </si>
  <si>
    <t>https://www.sante.fr/medecine-generale/epinay-sur-seine/dr-solis-tzaquitzal-jose</t>
  </si>
  <si>
    <t>GEN_0114</t>
  </si>
  <si>
    <t>Docteur Sophie GAUDIN</t>
  </si>
  <si>
    <t>Docteur Sophie GAUDIN
2 allée Sophie
95270 ASNIERES SUR OISE</t>
  </si>
  <si>
    <t>129</t>
  </si>
  <si>
    <t>GEN_0115</t>
  </si>
  <si>
    <t>Docteur Sophie VAILLANT AUCHERE</t>
  </si>
  <si>
    <t>VAILLANT AUCHERE</t>
  </si>
  <si>
    <t>Docteur Sophie VAILLANT AUCHERE
1, rue Ahmed Benkhaled
60250 Mouy</t>
  </si>
  <si>
    <t>130;139</t>
  </si>
  <si>
    <t>GEN_0116</t>
  </si>
  <si>
    <t>Docteur STOEVA</t>
  </si>
  <si>
    <t>Radka</t>
  </si>
  <si>
    <t>STOEVA</t>
  </si>
  <si>
    <t>Centre Hospitalier du MANS</t>
  </si>
  <si>
    <t>194, Avenue RUBILLARD</t>
  </si>
  <si>
    <t>72037</t>
  </si>
  <si>
    <t>LE MANS CEDEX 9</t>
  </si>
  <si>
    <t>Docteur STOEVA Radka
Service des maladies génétiques
Centre Hospitalier du MANS
194, Avenue RUBILLARD
72037 Le MANS CEDEX 9</t>
  </si>
  <si>
    <t>132</t>
  </si>
  <si>
    <t>GEN_0117</t>
  </si>
  <si>
    <t>Docteur Sylvie WILLIG</t>
  </si>
  <si>
    <t>Sylvie</t>
  </si>
  <si>
    <t>WILLIG</t>
  </si>
  <si>
    <t>Le Coin Haut</t>
  </si>
  <si>
    <t>05200</t>
  </si>
  <si>
    <t>SAINT SAUVEUR</t>
  </si>
  <si>
    <t>Docteur Sylvie WILLIG
Le Coin Haut
05 200 SAINT SAUVEUR</t>
  </si>
  <si>
    <t>Ma Chère Sylvie,</t>
  </si>
  <si>
    <t>133</t>
  </si>
  <si>
    <t>GEN_0118</t>
  </si>
  <si>
    <t>Docteur Sylvie TALIERCIO NGUYEN</t>
  </si>
  <si>
    <t>TALIERCIO NGUYEN</t>
  </si>
  <si>
    <t>1, impasse du Cardinal Pellevé</t>
  </si>
  <si>
    <t>60240</t>
  </si>
  <si>
    <t>JOUY-SOUS-THELLE</t>
  </si>
  <si>
    <t>Docteur Sylvie TALIERCIO NGUYEN
1, impasse du Cardinal Pellevé
60240 JOUY-SOUS-THELLE</t>
  </si>
  <si>
    <t>134</t>
  </si>
  <si>
    <t>GEN_0119</t>
  </si>
  <si>
    <t>Docteur Tiphaine ALLARD JOLIVET</t>
  </si>
  <si>
    <t>Tiphaine</t>
  </si>
  <si>
    <t>ALLARD JOLIVET</t>
  </si>
  <si>
    <t>40, rue Charles De Gaulle</t>
  </si>
  <si>
    <t>Docteur Tiphaine ALLARD JOLIVET
40, rue Charles De Gaulle
60460 Précy-sur-Oise</t>
  </si>
  <si>
    <t>136</t>
  </si>
  <si>
    <t>GEN_0120</t>
  </si>
  <si>
    <t>Docteur Corinne TORRES</t>
  </si>
  <si>
    <t>Corinne</t>
  </si>
  <si>
    <t>TORRES</t>
  </si>
  <si>
    <t>19 Rue de la Montagne Saint-Aignan</t>
  </si>
  <si>
    <t>60300</t>
  </si>
  <si>
    <t>SENLIS</t>
  </si>
  <si>
    <t>Docteur Corinne TORRES
19 Rue de la Montagne Saint-Aignan
60300 SENLIS</t>
  </si>
  <si>
    <t>137</t>
  </si>
  <si>
    <t>GEN_0121</t>
  </si>
  <si>
    <t>Docteur Thi Thanh Hang TRAN</t>
  </si>
  <si>
    <t>Thi Thanh Hang</t>
  </si>
  <si>
    <t>TRAN</t>
  </si>
  <si>
    <t>11 Rue de Touraine</t>
  </si>
  <si>
    <t>Docteur Thi Thanh Hang TRAN
11 Rue de Touraine
95300 PONTOISE</t>
  </si>
  <si>
    <t>138</t>
  </si>
  <si>
    <t>GEN_0122</t>
  </si>
  <si>
    <t>Docteur Amaury VANDEBROUK</t>
  </si>
  <si>
    <t>Amaury</t>
  </si>
  <si>
    <t>VANDEBROUK</t>
  </si>
  <si>
    <t>Clinique de Domont</t>
  </si>
  <si>
    <t>85, route de Domont</t>
  </si>
  <si>
    <t>Docteur Amaury VANDEBROUK
Clinique de Domont
85, route de Domont
95330 DOMONT</t>
  </si>
  <si>
    <t>140</t>
  </si>
  <si>
    <t>GEN_0123</t>
  </si>
  <si>
    <t>Docteur Veronique TIRVEILLIOT</t>
  </si>
  <si>
    <t>Veronique</t>
  </si>
  <si>
    <t>2 allee de la Gare</t>
  </si>
  <si>
    <t>BOUFFEMONT</t>
  </si>
  <si>
    <t>Docteur Veronique TIRVEILLIOT
2 allee de la Gare
95570 BOUFFEMONT</t>
  </si>
  <si>
    <t>142</t>
  </si>
  <si>
    <t>GEN_0124</t>
  </si>
  <si>
    <t>Docteur Virginie de SAINTE MARÉVILLE</t>
  </si>
  <si>
    <t>Virginie</t>
  </si>
  <si>
    <t>de SAINTE MARÉVILLE</t>
  </si>
  <si>
    <t>2 Carré MANSART</t>
  </si>
  <si>
    <t>L’ISLE ADAM</t>
  </si>
  <si>
    <t>Docteur Virginie de SAINTE MARÉVILLE
2 Carré MANSART
95290 L’ISLE ADAM</t>
  </si>
  <si>
    <t>143</t>
  </si>
  <si>
    <t>GEN_0125</t>
  </si>
  <si>
    <t>Docteur Xavier Copie</t>
  </si>
  <si>
    <t>Xavier</t>
  </si>
  <si>
    <t>Copie</t>
  </si>
  <si>
    <t>Docteur Xavier Copie
Centre Cardiologique du Nord
32 avenue des Moulins Gémeaux
93207 SAINT-DENIS</t>
  </si>
  <si>
    <t>Mon Cher Xavier</t>
  </si>
  <si>
    <t>144</t>
  </si>
  <si>
    <t>GEN_0126</t>
  </si>
  <si>
    <t>Docteur Xavier Leclerc</t>
  </si>
  <si>
    <t>Leclerc</t>
  </si>
  <si>
    <t>20, Rue Dame Anceline</t>
  </si>
  <si>
    <t>60210</t>
  </si>
  <si>
    <t>GRANDVILLIERS</t>
  </si>
  <si>
    <t>Docteur Xavier Leclerc
20, Rue Dame Anceline
60210 Grandvilliers</t>
  </si>
  <si>
    <t>145</t>
  </si>
  <si>
    <t>GEN_0127</t>
  </si>
  <si>
    <t>Docteur Yannick DOURDIN</t>
  </si>
  <si>
    <t>Yannick</t>
  </si>
  <si>
    <t>DOURDIN</t>
  </si>
  <si>
    <t>483, avenue du Maréchal Foch</t>
  </si>
  <si>
    <t>Docteur Yannick DOURDIN
483, avenue du Maréchal Foch
60390 Auneuil</t>
  </si>
  <si>
    <t>146</t>
  </si>
  <si>
    <t>GEN_0128</t>
  </si>
  <si>
    <t>Docteur Yaser KASHEF</t>
  </si>
  <si>
    <t>Yaser</t>
  </si>
  <si>
    <t>KASHEF</t>
  </si>
  <si>
    <t>40, avenue du Maréchal Joffre</t>
  </si>
  <si>
    <t>Docteur Yaser KASHEF
40, avenue du Maréchal Joffre
60500 CHANTILLY</t>
  </si>
  <si>
    <t>147</t>
  </si>
  <si>
    <t>https://www.doctolib.fr/medecin-generaliste/chantilly/yaser-kashef</t>
  </si>
  <si>
    <t>GEN_0129</t>
  </si>
  <si>
    <t>Docteur Yves DULMET</t>
  </si>
  <si>
    <t>Yves</t>
  </si>
  <si>
    <t>DULMET</t>
  </si>
  <si>
    <t>30, rue Jean Biondi</t>
  </si>
  <si>
    <t>Docteur Yves DULMET
30, rue Jean Biondi
60260 LAMORLAYE</t>
  </si>
  <si>
    <t>149</t>
  </si>
  <si>
    <t>GEN_0130</t>
  </si>
  <si>
    <t>Docteur Pierre ZAIDI</t>
  </si>
  <si>
    <t>ZAIDI</t>
  </si>
  <si>
    <t>Centre municipal de santé</t>
  </si>
  <si>
    <t>9 Rue de la station</t>
  </si>
  <si>
    <t>Docteur Pierre ZAIDI
Centre municipal de santé
9 Rue de la station
95130 FRANCONVILLE</t>
  </si>
  <si>
    <t>150</t>
  </si>
  <si>
    <t>https://www.sante.fr/medecine-generale/franconville/dr-zaidi-pierre</t>
  </si>
  <si>
    <t>GEN_0131</t>
  </si>
  <si>
    <t>Docteure Jenna GAUDIN</t>
  </si>
  <si>
    <t>Docteure</t>
  </si>
  <si>
    <t>Jenna GAUDIN</t>
  </si>
  <si>
    <t>Docteure Jenna GAUDIN
2 allée Sophie
95270 Asnières-sur-Oise</t>
  </si>
  <si>
    <t>151</t>
  </si>
  <si>
    <t>GEN_0132</t>
  </si>
  <si>
    <t>Docteure Lucie MANCHERON</t>
  </si>
  <si>
    <t>Lucie MANCHERON</t>
  </si>
  <si>
    <t>Docteure Lucie MANCHERON
7 bis rue Raymond Poincaré
95620 Parmain</t>
  </si>
  <si>
    <t>152</t>
  </si>
  <si>
    <t>GEN_0133</t>
  </si>
  <si>
    <t>Dr Frédéric BLAY</t>
  </si>
  <si>
    <t>BLAY</t>
  </si>
  <si>
    <t>42 rue de l’Europe</t>
  </si>
  <si>
    <t>SAINT CREPIN IBOUVILLIERS</t>
  </si>
  <si>
    <t>Dr Frédéric BLAY
42 rue de l’Europe
60149 SAINT CREPIN IBOUVILLIERS</t>
  </si>
  <si>
    <t>153</t>
  </si>
  <si>
    <t>GEN_0134</t>
  </si>
  <si>
    <t>Madame Laetitia GRISON</t>
  </si>
  <si>
    <t>Madame</t>
  </si>
  <si>
    <t>Laetitia</t>
  </si>
  <si>
    <t>GRISON</t>
  </si>
  <si>
    <t>Infirmière en pratique avancée</t>
  </si>
  <si>
    <t>Madame Laetitia GRISON
Infirmière en pratique avancée
3, Rue Kleinpeter
95270 VIARMES</t>
  </si>
  <si>
    <t>Madame,</t>
  </si>
  <si>
    <t>154</t>
  </si>
  <si>
    <t>GEN_0135</t>
  </si>
  <si>
    <t>Madame le Docteur Alice COUQUE</t>
  </si>
  <si>
    <t>Madame le Docteur</t>
  </si>
  <si>
    <t>Alice</t>
  </si>
  <si>
    <t>COUQUE</t>
  </si>
  <si>
    <t>115 Bis Avenue Valery Giscard D'Estaing</t>
  </si>
  <si>
    <t>L'ISLE-ADAM</t>
  </si>
  <si>
    <t>Madame le Docteur Alice COUQUE
115 Bis Avenue Valery Giscard D'Estaing
95290 L'ISLE-ADAM</t>
  </si>
  <si>
    <t>Madame le Docteur,</t>
  </si>
  <si>
    <t>155</t>
  </si>
  <si>
    <t>GEN_0136</t>
  </si>
  <si>
    <t>Madame le Docteur Amélie PIANTA</t>
  </si>
  <si>
    <t>Amélie</t>
  </si>
  <si>
    <t>PIANTA</t>
  </si>
  <si>
    <t>Madame le Docteur Amélie PIANTA
7, rue Neuve
60820 BORAN-SUR-OISE</t>
  </si>
  <si>
    <t>156</t>
  </si>
  <si>
    <t>GEN_0137</t>
  </si>
  <si>
    <t>Madame le Docteur Anne SAINT MARC FUHRER</t>
  </si>
  <si>
    <t>SAINT MARC FUHRER</t>
  </si>
  <si>
    <t>49, Rue de Paris</t>
  </si>
  <si>
    <t>Madame le Docteur Anne SAINT MARC FUHRER
49, Rue de Paris
60 430 NOAILLES</t>
  </si>
  <si>
    <t>157</t>
  </si>
  <si>
    <t>GEN_0138</t>
  </si>
  <si>
    <t>Madame le Docteur Aurélie BALIGOUT</t>
  </si>
  <si>
    <t>Aurélie</t>
  </si>
  <si>
    <t>BALIGOUT</t>
  </si>
  <si>
    <t>10, Rue de la Gare</t>
  </si>
  <si>
    <t>95440</t>
  </si>
  <si>
    <t>ÉCOUEN</t>
  </si>
  <si>
    <t>Madame le Docteur Aurélie BALIGOUT
10, Rue de la Gare
95440 ÉCOUEN</t>
  </si>
  <si>
    <t>158</t>
  </si>
  <si>
    <t>GEN_0139</t>
  </si>
  <si>
    <t>Madame le Docteur Béatrice BISHOP</t>
  </si>
  <si>
    <t>Béatrice</t>
  </si>
  <si>
    <t>BISHOP</t>
  </si>
  <si>
    <t>52, Rue de Paris</t>
  </si>
  <si>
    <t>Madame le Docteur Béatrice BISHOP
52, Rue de Paris
95270 VIARMES</t>
  </si>
  <si>
    <t>159</t>
  </si>
  <si>
    <t>GEN_0140</t>
  </si>
  <si>
    <t>Madame le Docteur Nadia BERRABAH MAJDOUB</t>
  </si>
  <si>
    <t>10, avenue Paul Thouureau</t>
  </si>
  <si>
    <t>Madame le Docteur Nadia BERRABAH MAJDOUB
10, avenue Paul Thouureau
95290 L’ISLE-ADAM</t>
  </si>
  <si>
    <t>160</t>
  </si>
  <si>
    <t>GEN_0141</t>
  </si>
  <si>
    <t>Madame le Docteur Émilie BRESSON</t>
  </si>
  <si>
    <t>Émilie</t>
  </si>
  <si>
    <t>BRESSON</t>
  </si>
  <si>
    <t>25, Avenue du Général Leclerc</t>
  </si>
  <si>
    <t>Madame le Docteur Émilie BRESSON
25, Avenue du Général Leclerc
60500 CHANTILLY</t>
  </si>
  <si>
    <t>161</t>
  </si>
  <si>
    <t>GEN_0142</t>
  </si>
  <si>
    <t>Madame le Docteur Carine CHORT</t>
  </si>
  <si>
    <t>Carine</t>
  </si>
  <si>
    <t>CHORT</t>
  </si>
  <si>
    <t>10 rue du Lieutenant Baude</t>
  </si>
  <si>
    <t>SAINT-MARTIN-DU-TERTRE</t>
  </si>
  <si>
    <t>Madame le Docteur Carine CHORT
10 rue du Lieutenant Baude
95270 SAINT-MARTIN-DU-TERTRE</t>
  </si>
  <si>
    <t>162</t>
  </si>
  <si>
    <t>GEN_0143</t>
  </si>
  <si>
    <t>Madame le Docteur Caroline MOREL</t>
  </si>
  <si>
    <t>Caroline</t>
  </si>
  <si>
    <t>MOREL</t>
  </si>
  <si>
    <t>1 ter, chemin de la Croisette</t>
  </si>
  <si>
    <t>BOISSY-L’AILLERIE</t>
  </si>
  <si>
    <t>Madame le Docteur Caroline MOREL
1 ter, chemin de la Croisette
95650 Boissy-l’Aillerie</t>
  </si>
  <si>
    <t>163</t>
  </si>
  <si>
    <t>GEN_0144</t>
  </si>
  <si>
    <t>Madame le Docteur Céline PAULINO</t>
  </si>
  <si>
    <t>Madame le Docteur Céline PAULINO
298, rue Herminie
60250 Bury</t>
  </si>
  <si>
    <t>164;188</t>
  </si>
  <si>
    <t>GEN_0145</t>
  </si>
  <si>
    <t>Madame le Docteur Charlotte MOYAT</t>
  </si>
  <si>
    <t>Charlotte</t>
  </si>
  <si>
    <t>MOYAT</t>
  </si>
  <si>
    <t>Madame le Docteur Charlotte MOYAT
10, avenue Paul Thoureau
95290 L’Isle-Adam</t>
  </si>
  <si>
    <t>165</t>
  </si>
  <si>
    <t>GEN_0146</t>
  </si>
  <si>
    <t>Madame le Docteur Claudine CHICAN</t>
  </si>
  <si>
    <t>Claudine</t>
  </si>
  <si>
    <t>CHICAN</t>
  </si>
  <si>
    <t>77, rue André-Caron</t>
  </si>
  <si>
    <t>Madame le Docteur Claudine CHICAN
77, rue André-Caron
60230 CHAMBLY</t>
  </si>
  <si>
    <t>166</t>
  </si>
  <si>
    <t>GEN_0147</t>
  </si>
  <si>
    <t>Madame le Docteur Delphine CLAVIE</t>
  </si>
  <si>
    <t>CLAVIE</t>
  </si>
  <si>
    <t>36, Rue Sœur Azélie</t>
  </si>
  <si>
    <t>95170</t>
  </si>
  <si>
    <t>DEUIL-LA-BARRE</t>
  </si>
  <si>
    <t>Madame le Docteur Delphine CLAVIE
36, Rue Sœur Azélie
95170 DEUIL-LA-BARRE</t>
  </si>
  <si>
    <t>167</t>
  </si>
  <si>
    <t>GEN_0148</t>
  </si>
  <si>
    <t>Madame le Docteur Coraline SAINT FÉLIX</t>
  </si>
  <si>
    <t>Coraline</t>
  </si>
  <si>
    <t>SAINT FÉLIX</t>
  </si>
  <si>
    <t>Pole médical de Taverny</t>
  </si>
  <si>
    <t>1 rue Jeanne PLANCHE</t>
  </si>
  <si>
    <t>Madame le Docteur Coraline SAINT FÉLIX
Pole médical de Taverny
1 rue Jeanne PLANCHE
95 150 TAVERNY</t>
  </si>
  <si>
    <t>168</t>
  </si>
  <si>
    <t>GEN_0149</t>
  </si>
  <si>
    <t>Madame le Docteur Delphine LOIRAT</t>
  </si>
  <si>
    <t>LOIRAT</t>
  </si>
  <si>
    <t>26, Rue d’Ulm</t>
  </si>
  <si>
    <t>Madame le Docteur Delphine LOIRAT
Institut Curie
26, Rue d’Ulm
75005 Paris</t>
  </si>
  <si>
    <t>169</t>
  </si>
  <si>
    <t>GEN_0150</t>
  </si>
  <si>
    <t>Madame le Docteur Christelle DIZENGREMEL</t>
  </si>
  <si>
    <t>Christelle</t>
  </si>
  <si>
    <t>DIZENGREMEL</t>
  </si>
  <si>
    <t>8 avenue FOCH</t>
  </si>
  <si>
    <t>Madame le Docteur Christelle DIZENGREMEL
8 avenue FOCH
60000 BEAUVAIS</t>
  </si>
  <si>
    <t>170</t>
  </si>
  <si>
    <t>https://www.sante.fr/medecine-generale/beauvais/dr-dizengremel-christelle</t>
  </si>
  <si>
    <t>GEN_0151</t>
  </si>
  <si>
    <t>Madame le Docteur Elisabeth DELMAS</t>
  </si>
  <si>
    <t>Elisabeth</t>
  </si>
  <si>
    <t>DELMAS</t>
  </si>
  <si>
    <t>9 bis, rue Victor Basch</t>
  </si>
  <si>
    <t>Madame le Docteur Elisabeth DELMAS
9 bis, rue Victor Basch
95260 BEAUMONT-SUR-OISE</t>
  </si>
  <si>
    <t>171</t>
  </si>
  <si>
    <t>https://www.beaumontsuroise.fr/sante-solidarite-logement/hopital-et-sante/professionnels-de-sante/</t>
  </si>
  <si>
    <t>GEN_0152</t>
  </si>
  <si>
    <t>Madame le Docteur Émilie BERNARD</t>
  </si>
  <si>
    <t>BERNARD</t>
  </si>
  <si>
    <t>8, Rue du Coudray</t>
  </si>
  <si>
    <t>95740</t>
  </si>
  <si>
    <t>FREPILLON</t>
  </si>
  <si>
    <t>Madame le Docteur Émilie BERNARD
8, Rue du Coudray
95 740 FREPILLON</t>
  </si>
  <si>
    <t>172</t>
  </si>
  <si>
    <t>GEN_0153</t>
  </si>
  <si>
    <t>Madame le Docteur Emmanuelle IVANOFF</t>
  </si>
  <si>
    <t>Emmanuelle</t>
  </si>
  <si>
    <t>IVANOFF</t>
  </si>
  <si>
    <t>Résidence du Bois de Boulogne Dauphine 3</t>
  </si>
  <si>
    <t>Madame le Docteur Emmanuelle IVANOFF
Résidence du Bois de Boulogne Dauphine 3
95290 L’ISLE-ADAM</t>
  </si>
  <si>
    <t>173</t>
  </si>
  <si>
    <t>GEN_0154</t>
  </si>
  <si>
    <t>Madame le Docteur Simona FARCAS</t>
  </si>
  <si>
    <t>Simona</t>
  </si>
  <si>
    <t>FARCAS</t>
  </si>
  <si>
    <t>6, Rue Nicolas SIRET</t>
  </si>
  <si>
    <t>10000</t>
  </si>
  <si>
    <t>TROYES</t>
  </si>
  <si>
    <t>Madame le Docteur Simona FARCAS
6, Rue Nicolas SIRET
10000 TROYES</t>
  </si>
  <si>
    <t>175</t>
  </si>
  <si>
    <t>GEN_0155</t>
  </si>
  <si>
    <t>Madame le Docteur Françoise GRUSON</t>
  </si>
  <si>
    <t>Françoise</t>
  </si>
  <si>
    <t>GRUSON</t>
  </si>
  <si>
    <t>16, cours Boutteville</t>
  </si>
  <si>
    <t>Madame le Docteur Françoise GRUSON
16, cours Boutteville
60300 SENLIS</t>
  </si>
  <si>
    <t>176</t>
  </si>
  <si>
    <t>https://www.sante.fr/medecine-generale/senlis/dr-gruson-francoise</t>
  </si>
  <si>
    <t>GEN_0156</t>
  </si>
  <si>
    <t>Madame le Docteur Marie-Pierre HASSENFORDER-COQUIN</t>
  </si>
  <si>
    <t>Marie-Pierre</t>
  </si>
  <si>
    <t>HASSENFORDER-COQUIN</t>
  </si>
  <si>
    <t>19, rue Émile-Combres</t>
  </si>
  <si>
    <t>Madame le Docteur Marie-Pierre HASSENFORDER-COQUIN
19, rue Émile-Combres
95560 MONTSOULT</t>
  </si>
  <si>
    <t>177</t>
  </si>
  <si>
    <t>Nom complet officiel : HASSENFORDER-COQUIN ; usage abrégé HASSENFORDER également observé.</t>
  </si>
  <si>
    <t>https://www.sante.fr/medecine-generale/montsoult/dr-hassenforder-coquin-marie-pierre
https://www.doctolib.fr/medecin-generaliste/montsoult/marie-pierre-hassenforder</t>
  </si>
  <si>
    <t>GEN_0157</t>
  </si>
  <si>
    <t>Madame le Docteur Joanna JUMAH</t>
  </si>
  <si>
    <t>Joanna</t>
  </si>
  <si>
    <t>JUMAH</t>
  </si>
  <si>
    <t>87, Rue André Caron</t>
  </si>
  <si>
    <t>Madame le Docteur Joanna JUMAH
87, Rue André Caron
60230 CHAMBLY</t>
  </si>
  <si>
    <t>178</t>
  </si>
  <si>
    <t>GEN_0158</t>
  </si>
  <si>
    <t>Madame le Docteur Pirusha KETHEES</t>
  </si>
  <si>
    <t>Pirusha</t>
  </si>
  <si>
    <t>KETHEES</t>
  </si>
  <si>
    <t>120 rue Raymond JOLY</t>
  </si>
  <si>
    <t>Madame le Docteur Pirusha KETHEES
120 rue Raymond JOLY
60230 CHAMBLY</t>
  </si>
  <si>
    <t>180</t>
  </si>
  <si>
    <t>GEN_0159</t>
  </si>
  <si>
    <t>Madame le Docteur Luana LE BUREL</t>
  </si>
  <si>
    <t>Luana</t>
  </si>
  <si>
    <t>LE BUREL</t>
  </si>
  <si>
    <t>Madame le Docteur Luana LE BUREL
7 bis, rue Raymond Poincaré
95620 PARMAIN</t>
  </si>
  <si>
    <t>181</t>
  </si>
  <si>
    <t>GEN_0160</t>
  </si>
  <si>
    <t>Madame le Docteur M.-A. BASTIN</t>
  </si>
  <si>
    <t>M.-A.</t>
  </si>
  <si>
    <t>BASTIN</t>
  </si>
  <si>
    <t>12, Avenue du Général Leclerc</t>
  </si>
  <si>
    <t>Madame le Docteur M.-A. BASTIN
Hôpital privé des Jockeys
12, Avenue du Général Leclerc
60500 CHANTILLY</t>
  </si>
  <si>
    <t>182</t>
  </si>
  <si>
    <t>GEN_0161</t>
  </si>
  <si>
    <t>Madame le Docteur Marina SOAVA</t>
  </si>
  <si>
    <t>Marina</t>
  </si>
  <si>
    <t>SOAVA</t>
  </si>
  <si>
    <t>5, rue de l’Abbé-Breuil</t>
  </si>
  <si>
    <t>Madame le Docteur Marina SOAVA
5, rue de l’Abbé-Breuil
95 290 L’Isle-Adam</t>
  </si>
  <si>
    <t>183;191</t>
  </si>
  <si>
    <t>GEN_0162</t>
  </si>
  <si>
    <t>Madame le Docteur Mélanie DOUTART</t>
  </si>
  <si>
    <t>DOUTART</t>
  </si>
  <si>
    <t>Madame le Docteur Mélanie DOUTART
3 bis, rue des Petits Prés
60660 Cires-lès-Mello</t>
  </si>
  <si>
    <t>184</t>
  </si>
  <si>
    <t>GEN_0163</t>
  </si>
  <si>
    <t>Madame le Docteur Mélanie HOULLEMARE</t>
  </si>
  <si>
    <t>HOULLEMARE</t>
  </si>
  <si>
    <t>Madame le Docteur Mélanie HOULLEMARE
120, rue Raymond Joly
60230 Chambly</t>
  </si>
  <si>
    <t>185;196</t>
  </si>
  <si>
    <t>GEN_0164</t>
  </si>
  <si>
    <t>Madame le Docteur Nadège PUTOD</t>
  </si>
  <si>
    <t>Nadège</t>
  </si>
  <si>
    <t>PUTOD</t>
  </si>
  <si>
    <t>15 avenue Marie Amélie</t>
  </si>
  <si>
    <t>Batiment 1</t>
  </si>
  <si>
    <t>Madame le Docteur Nadège PUTOD
15 avenue Marie Amélie
Batiment 1
60500 CHANTILLY</t>
  </si>
  <si>
    <t>186</t>
  </si>
  <si>
    <t>GEN_0165</t>
  </si>
  <si>
    <t>Madame le Docteur Nancy BONNARD</t>
  </si>
  <si>
    <t>Nancy</t>
  </si>
  <si>
    <t>BONNARD</t>
  </si>
  <si>
    <t>Pôle santé Andeville</t>
  </si>
  <si>
    <t>14, Rue Jean Jaurès</t>
  </si>
  <si>
    <t>Madame le Docteur Nancy BONNARD
Pôle santé Andeville
14, Rue Jean Jaurès
60570 ANDEVILLE</t>
  </si>
  <si>
    <t>187</t>
  </si>
  <si>
    <t>GEN_0166</t>
  </si>
  <si>
    <t>Madame le Docteur Isabelle ROZIER</t>
  </si>
  <si>
    <t>Isabelle</t>
  </si>
  <si>
    <t>ROZIER</t>
  </si>
  <si>
    <t>184, Rue Saint Fuscien</t>
  </si>
  <si>
    <t>80000</t>
  </si>
  <si>
    <t>AMIENS</t>
  </si>
  <si>
    <t>Madame le Docteur Isabelle ROZIER
184, Rue Saint Fuscien
80000 AMIENS</t>
  </si>
  <si>
    <t>189</t>
  </si>
  <si>
    <t>GEN_0167</t>
  </si>
  <si>
    <t>Madame le Docteur Sandrine VIGUIÉ</t>
  </si>
  <si>
    <t>VIGUIÉ</t>
  </si>
  <si>
    <t>15B, Rue de Montesson</t>
  </si>
  <si>
    <t>95870</t>
  </si>
  <si>
    <t>BEZONS</t>
  </si>
  <si>
    <t>Madame le Docteur Sandrine VIGUIÉ
15B, Rue de Montesson
95 870 BEZONS</t>
  </si>
  <si>
    <t>190</t>
  </si>
  <si>
    <t>GEN_0168</t>
  </si>
  <si>
    <t>Madame le Docteur Mariko SUMIYA</t>
  </si>
  <si>
    <t>Mariko</t>
  </si>
  <si>
    <t>SUMIYA</t>
  </si>
  <si>
    <t>Madame le Docteur Mariko SUMIYA
35, Grande Rue
95630 MERIEL</t>
  </si>
  <si>
    <t>192</t>
  </si>
  <si>
    <t>GEN_0169</t>
  </si>
  <si>
    <t>Madame le Docteur Valérie MICHAUD</t>
  </si>
  <si>
    <t>Valérie</t>
  </si>
  <si>
    <t>MICHAUD</t>
  </si>
  <si>
    <t>12 avenue des Ecuries</t>
  </si>
  <si>
    <t>Madame le Docteur Valérie MICHAUD
12 avenue des Ecuries
95290 L’ISLE ADAM</t>
  </si>
  <si>
    <t>193</t>
  </si>
  <si>
    <t>GEN_0170</t>
  </si>
  <si>
    <t>Madame Laetitia RUNAVOT</t>
  </si>
  <si>
    <t>RUNAVOT</t>
  </si>
  <si>
    <t>Madame Laetitia RUNAVOT
Infirmière en pratique avancée
120, rue Raymond Joly
60230 CHAMBLY</t>
  </si>
  <si>
    <t>194</t>
  </si>
  <si>
    <t>GEN_0171</t>
  </si>
  <si>
    <t>Monsieur le Docteur Alain BENCHIMOL</t>
  </si>
  <si>
    <t>Monsieur le Docteur</t>
  </si>
  <si>
    <t>Monsieur</t>
  </si>
  <si>
    <t>BENCHIMOL</t>
  </si>
  <si>
    <t>12 avenue des Sapins</t>
  </si>
  <si>
    <t>Monsieur le Docteur Alain BENCHIMOL
12 avenue des Sapins
95290 L’ISLE ADAM</t>
  </si>
  <si>
    <t>Monsieur le Docteur,</t>
  </si>
  <si>
    <t>197</t>
  </si>
  <si>
    <t>GEN_0172</t>
  </si>
  <si>
    <t>Monsieur le Docteur Ara LOSHKAJIAN</t>
  </si>
  <si>
    <t>Ara</t>
  </si>
  <si>
    <t>LOSHKAJIAN</t>
  </si>
  <si>
    <t>Batiment C1</t>
  </si>
  <si>
    <t>13 rue Victor HUGO</t>
  </si>
  <si>
    <t>Monsieur le Docteur Ara LOSHKAJIAN
Centre d’imagerie médicale
Batiment C1
13 rue Victor HUGO
60 500 CHANTILLY</t>
  </si>
  <si>
    <t>199</t>
  </si>
  <si>
    <t>GEN_0173</t>
  </si>
  <si>
    <t>Monsieur le Docteur Aymen FERSI</t>
  </si>
  <si>
    <t>Aymen</t>
  </si>
  <si>
    <t>FERSI</t>
  </si>
  <si>
    <t>100, avenue Jacques-Vogt</t>
  </si>
  <si>
    <t>Monsieur le Docteur Aymen FERSI
100, avenue Jacques-Vogt
95 340 PERSAN</t>
  </si>
  <si>
    <t>200;216</t>
  </si>
  <si>
    <t>GEN_0174</t>
  </si>
  <si>
    <t>Monsieur le Docteur Sahara AZIS</t>
  </si>
  <si>
    <t>Sahara</t>
  </si>
  <si>
    <t>AZIS</t>
  </si>
  <si>
    <t>46 chemin de Pontoise</t>
  </si>
  <si>
    <t>95540</t>
  </si>
  <si>
    <t>MÉRY SUR OISE</t>
  </si>
  <si>
    <t>Monsieur le Docteur Sahara AZIS
46 chemin de Pontoise
95540 MÉRY SUR OISE</t>
  </si>
  <si>
    <t>201</t>
  </si>
  <si>
    <t>GEN_0175</t>
  </si>
  <si>
    <t>Monsieur le Docteur Yves BERNARD</t>
  </si>
  <si>
    <t>29, rue de la Mairie</t>
  </si>
  <si>
    <t>95820</t>
  </si>
  <si>
    <t>BRUYERES SUR OISE</t>
  </si>
  <si>
    <t>Monsieur le Docteur Yves BERNARD
29, rue de la Mairie
95820 BRUYERES SUR OISE</t>
  </si>
  <si>
    <t>202</t>
  </si>
  <si>
    <t>GEN_0176</t>
  </si>
  <si>
    <t>Monsieur le Docteur Christian BARILLON</t>
  </si>
  <si>
    <t>Christian</t>
  </si>
  <si>
    <t>BARILLON</t>
  </si>
  <si>
    <t>2 rue des ECOLES</t>
  </si>
  <si>
    <t>95320</t>
  </si>
  <si>
    <t>SAINT LEU LA FORET</t>
  </si>
  <si>
    <t>Monsieur le Docteur Christian BARILLON
2 rue des ECOLES
95320 SAINT LEU LA FORET</t>
  </si>
  <si>
    <t>203</t>
  </si>
  <si>
    <t>GEN_0178</t>
  </si>
  <si>
    <t>Monsieur le Docteur Édouard NEIRYNCK</t>
  </si>
  <si>
    <t>Édouard</t>
  </si>
  <si>
    <t>NEIRYNCK</t>
  </si>
  <si>
    <t>Monsieur le Docteur Édouard NEIRYNCK
10, avenue Paul Thoureau
95290 L’Isle-Adam</t>
  </si>
  <si>
    <t>207</t>
  </si>
  <si>
    <t>GEN_0179</t>
  </si>
  <si>
    <t>Monsieur le Docteur Elbert Philippe</t>
  </si>
  <si>
    <t>Elbert</t>
  </si>
  <si>
    <t>1, rue des VIGNERONS</t>
  </si>
  <si>
    <t>95110</t>
  </si>
  <si>
    <t>SANNOIS</t>
  </si>
  <si>
    <t>Monsieur le Docteur Elbert Philippe
1, rue des VIGNERONS
95 110 SANNOIS</t>
  </si>
  <si>
    <t>209</t>
  </si>
  <si>
    <t>GEN_0180</t>
  </si>
  <si>
    <t>Monsieur le Docteur Emmanuel-Pierre ETIA</t>
  </si>
  <si>
    <t>Emmanuel-Pierre</t>
  </si>
  <si>
    <t>ETIA</t>
  </si>
  <si>
    <t>Monsieur le Docteur Emmanuel-Pierre ETIA
16, rue de l’Isle-Adam
95260 BEAUMONT-SUR-OISE</t>
  </si>
  <si>
    <t>211</t>
  </si>
  <si>
    <t>https://www.sante.fr/medecine-generale/beaumont-sur-oise/dr-etia-emmanuel-pierre</t>
  </si>
  <si>
    <t>GEN_0181</t>
  </si>
  <si>
    <t>Monsieur le Docteur Éric EOUZAN</t>
  </si>
  <si>
    <t>Éric</t>
  </si>
  <si>
    <t>EOUZAN</t>
  </si>
  <si>
    <t>20 – 26, Rue Pasteur</t>
  </si>
  <si>
    <t>72300</t>
  </si>
  <si>
    <t>SABLÉ SUR SARTHE</t>
  </si>
  <si>
    <t>Monsieur le Docteur Éric EOUZAN
20 – 26, Rue Pasteur
72300 SABLÉ SUR SARTHE</t>
  </si>
  <si>
    <t>212</t>
  </si>
  <si>
    <t>GEN_0182</t>
  </si>
  <si>
    <t>Monsieur le Docteur Éric ASSYAG</t>
  </si>
  <si>
    <t>ASSYAG</t>
  </si>
  <si>
    <t>49, rue des Martyrs-de-la-Résistance</t>
  </si>
  <si>
    <t>Monsieur le Docteur Éric ASSYAG
49, rue des Martyrs-de-la-Résistance
60110 MÉRU</t>
  </si>
  <si>
    <t>213</t>
  </si>
  <si>
    <t>GEN_0183</t>
  </si>
  <si>
    <t>Monsieur le Docteur Éric MARQUAILLE</t>
  </si>
  <si>
    <t>MARQUAILLE</t>
  </si>
  <si>
    <t>33, rue Blanche</t>
  </si>
  <si>
    <t>60270</t>
  </si>
  <si>
    <t>GOUVIEUX</t>
  </si>
  <si>
    <t>Monsieur le Docteur Éric MARQUAILLE
33, rue Blanche
60270 GOUVIEUX</t>
  </si>
  <si>
    <t>214</t>
  </si>
  <si>
    <t>GEN_0184</t>
  </si>
  <si>
    <t>Monsieur le Docteur Éric ESPIÉ</t>
  </si>
  <si>
    <t>ESPIÉ</t>
  </si>
  <si>
    <t>Monsieur le Docteur Éric ESPIÉ
Maison Médicale des Arcades
100 Avenue Jacques Vogt
95340 PERSAN</t>
  </si>
  <si>
    <t>215</t>
  </si>
  <si>
    <t>https://www.smartagenda.fr/pro/maison-medicale-des-arcades/rendez-vous/dr-espie-eric-medecin-generaliste-persan.html</t>
  </si>
  <si>
    <t>GEN_0185</t>
  </si>
  <si>
    <t>Monsieur le Docteur Frédéric BLAY</t>
  </si>
  <si>
    <t>42, Rue de L’EUROPE</t>
  </si>
  <si>
    <t>60140</t>
  </si>
  <si>
    <t>Monsieur le Docteur Frédéric BLAY
42, Rue de L’EUROPE
60140 SAINT-CRÉPIN-IBOUVILLERS</t>
  </si>
  <si>
    <t>217</t>
  </si>
  <si>
    <t>GEN_0186</t>
  </si>
  <si>
    <t>Monsieur le Docteur Gabriel FROLI</t>
  </si>
  <si>
    <t>Gabriel</t>
  </si>
  <si>
    <t>FROLI</t>
  </si>
  <si>
    <t>28, Rue de L’EGLISE</t>
  </si>
  <si>
    <t>60340</t>
  </si>
  <si>
    <t>VILLERS SOUS SAINT LEU</t>
  </si>
  <si>
    <t>Monsieur le Docteur Gabriel FROLI
28, Rue de L’EGLISE
60340 VILLERS SOUS SAINT LEU</t>
  </si>
  <si>
    <t>218</t>
  </si>
  <si>
    <t>GEN_0187</t>
  </si>
  <si>
    <t>Monsieur le Docteur Gabriel FRANCOIS</t>
  </si>
  <si>
    <t>FRANCOIS</t>
  </si>
  <si>
    <t>40 rue Charles de Gaulle</t>
  </si>
  <si>
    <t>PRECY SUR OISE</t>
  </si>
  <si>
    <t>Monsieur le Docteur Gabriel FRANCOIS
40 rue Charles de Gaulle
60460 PRECY SUR OISE</t>
  </si>
  <si>
    <t>219</t>
  </si>
  <si>
    <t>GEN_0188</t>
  </si>
  <si>
    <t>Monsieur le Docteur Gaël LENOIR</t>
  </si>
  <si>
    <t>Gaël</t>
  </si>
  <si>
    <t>LENOIR</t>
  </si>
  <si>
    <t>Résidence du Bois de Boulogne</t>
  </si>
  <si>
    <t>Dauphine 3</t>
  </si>
  <si>
    <t>Monsieur le Docteur Gaël LENOIR
Résidence du Bois de Boulogne
Dauphine 3
95290 L’ISLE ADAM</t>
  </si>
  <si>
    <t>220</t>
  </si>
  <si>
    <t>GEN_0189</t>
  </si>
  <si>
    <t>Monsieur le Docteur Alexis GERBITH</t>
  </si>
  <si>
    <t>Alexis</t>
  </si>
  <si>
    <t>GERBITH</t>
  </si>
  <si>
    <t>Maison médicale de Grandvilliers</t>
  </si>
  <si>
    <t>Monsieur le Docteur Alexis GERBITH
Maison médicale de Grandvilliers
20, Rue Dame Anceline
60210 GRANDVILLIERS</t>
  </si>
  <si>
    <t>221</t>
  </si>
  <si>
    <t>GEN_0190</t>
  </si>
  <si>
    <t>Monsieur le Docteur Romain GOMAS</t>
  </si>
  <si>
    <t>Romain</t>
  </si>
  <si>
    <t>GOMAS</t>
  </si>
  <si>
    <t>31, Rue Pierre Pilon</t>
  </si>
  <si>
    <t>95690</t>
  </si>
  <si>
    <t>NESLES LA VALLÉE</t>
  </si>
  <si>
    <t>Monsieur le Docteur Romain GOMAS
31, Rue Pierre Pilon
95690 NESLES LA VALLÉE</t>
  </si>
  <si>
    <t>222;243</t>
  </si>
  <si>
    <t>GEN_0191</t>
  </si>
  <si>
    <t>Monsieur le Docteur Emmanuel GRUEL</t>
  </si>
  <si>
    <t>GRUEL</t>
  </si>
  <si>
    <t>4, Place du Parc aux Charrettes</t>
  </si>
  <si>
    <t>Monsieur le Docteur Emmanuel GRUEL
4, Place du Parc aux Charrettes
95300 PONTOISE</t>
  </si>
  <si>
    <t>223</t>
  </si>
  <si>
    <t>GEN_0192</t>
  </si>
  <si>
    <t>Monsieur le Docteur Guillaume STIMOLO</t>
  </si>
  <si>
    <t>STIMOLO</t>
  </si>
  <si>
    <t>31, rue Pierre Pilon</t>
  </si>
  <si>
    <t>NESLES-LA-VALLÉE</t>
  </si>
  <si>
    <t>Monsieur le Docteur Guillaume STIMOLO
31, rue Pierre Pilon
95690 NESLES-LA-VALLÉE</t>
  </si>
  <si>
    <t>224;246</t>
  </si>
  <si>
    <t>GEN_0193</t>
  </si>
  <si>
    <t>Monsieur le Docteur Jean-Claude FOLY</t>
  </si>
  <si>
    <t>Jean-Claude</t>
  </si>
  <si>
    <t>FOLY</t>
  </si>
  <si>
    <t>6, Rue de NOAILLES</t>
  </si>
  <si>
    <t>60730</t>
  </si>
  <si>
    <t>CAUVIGNY</t>
  </si>
  <si>
    <t>Monsieur le Docteur Jean-Claude FOLY
6, Rue de NOAILLES
60730 CAUVIGNY</t>
  </si>
  <si>
    <t>225</t>
  </si>
  <si>
    <t>GEN_0194</t>
  </si>
  <si>
    <t>Monsieur le Docteur Jean-Yves GANDOLFO</t>
  </si>
  <si>
    <t>Jean-Yves</t>
  </si>
  <si>
    <t>GANDOLFO</t>
  </si>
  <si>
    <t>3, Rue Ambroise Croizat</t>
  </si>
  <si>
    <t>LE MESNIL EN THELLE</t>
  </si>
  <si>
    <t>Monsieur le Docteur Jean-Yves GANDOLFO
3, Rue Ambroise Croizat
60530 LE MESNIL EN THELLE</t>
  </si>
  <si>
    <t>226</t>
  </si>
  <si>
    <t>GEN_0195</t>
  </si>
  <si>
    <t>Monsieur le Docteur Ky CHENG</t>
  </si>
  <si>
    <t>Ky</t>
  </si>
  <si>
    <t>CHENG</t>
  </si>
  <si>
    <t>Monsieur le Docteur Ky CHENG
16 bis, rue d'Estienne d'Orves
95340 PERSAN</t>
  </si>
  <si>
    <t>227</t>
  </si>
  <si>
    <t>GEN_0196</t>
  </si>
  <si>
    <t>Monsieur le Docteur Louis RATTE</t>
  </si>
  <si>
    <t>Louis</t>
  </si>
  <si>
    <t>RATTE</t>
  </si>
  <si>
    <t>Monsieur le Docteur Louis RATTE
Clinique de Domont
85, route de Domont
95330 Domont</t>
  </si>
  <si>
    <t>228</t>
  </si>
  <si>
    <t>GEN_0197</t>
  </si>
  <si>
    <t>Monsieur le Docteur Michel BELLEUDY</t>
  </si>
  <si>
    <t>Michel</t>
  </si>
  <si>
    <t>Monsieur le Docteur Michel BELLEUDY
40, Rue Charles de Gaulle
95270 LUZARCHES</t>
  </si>
  <si>
    <t>229</t>
  </si>
  <si>
    <t>GEN_0198</t>
  </si>
  <si>
    <t>Monsieur le Docteur Simon MOAZZEZI-MOSAT</t>
  </si>
  <si>
    <t>MOAZZEZI-MOSAT</t>
  </si>
  <si>
    <t>RD 316 – Pôle de santé de Chaumontel</t>
  </si>
  <si>
    <t>Allée de la Poire de Bezy</t>
  </si>
  <si>
    <t>Monsieur le Docteur Simon MOAZZEZI-MOSAT
RD 316 – Pôle de santé de Chaumontel
Allée de la Poire de Bezy
95270 CHAUMONTEL</t>
  </si>
  <si>
    <t>230</t>
  </si>
  <si>
    <t>https://www.doctolib.fr/medecin-generaliste/chaumontel/simon-moazzezi-mosat</t>
  </si>
  <si>
    <t>GEN_0199</t>
  </si>
  <si>
    <t>Monsieur le Docteur Hamdi MTIR</t>
  </si>
  <si>
    <t>Hamdi</t>
  </si>
  <si>
    <t>MTIR</t>
  </si>
  <si>
    <t>Monsieur le Docteur Hamdi MTIR
120 rue Raymond JOLY
60230 CHAMBLY</t>
  </si>
  <si>
    <t>232</t>
  </si>
  <si>
    <t>GEN_0200</t>
  </si>
  <si>
    <t>Monsieur le Docteur Omar LIMAM</t>
  </si>
  <si>
    <t>Omar</t>
  </si>
  <si>
    <t>LIMAM</t>
  </si>
  <si>
    <t>3 Place Hubert JOLIVET</t>
  </si>
  <si>
    <t>Monsieur le Docteur Omar LIMAM
3 Place Hubert JOLIVET
95290 L’ISLE ADAM</t>
  </si>
  <si>
    <t>233</t>
  </si>
  <si>
    <t>GEN_0201</t>
  </si>
  <si>
    <t>Monsieur le Docteur Patrice VAGNER</t>
  </si>
  <si>
    <t>VAGNER</t>
  </si>
  <si>
    <t>33, route Nationale</t>
  </si>
  <si>
    <t>SAINTE-GENEVIÈVE</t>
  </si>
  <si>
    <t>Monsieur le Docteur Patrice VAGNER
33, route Nationale
60730 SAINTE-GENEVIÈVE</t>
  </si>
  <si>
    <t>234</t>
  </si>
  <si>
    <t>GEN_0202</t>
  </si>
  <si>
    <t>Monsieur le Docteur Patrick TRANCHON</t>
  </si>
  <si>
    <t>Patrick</t>
  </si>
  <si>
    <t>TRANCHON</t>
  </si>
  <si>
    <t>8 Grand’Place de la Garenne</t>
  </si>
  <si>
    <t>Monsieur le Docteur Patrick TRANCHON
8 Grand’Place de la Garenne
95290 L’ISLE-ADAM</t>
  </si>
  <si>
    <t>235</t>
  </si>
  <si>
    <t>GEN_0203</t>
  </si>
  <si>
    <t>Monsieur le Docteur Philippe HAINIGUE</t>
  </si>
  <si>
    <t>HAINIGUE</t>
  </si>
  <si>
    <t>33 Grande Rue</t>
  </si>
  <si>
    <t>Monsieur le Docteur Philippe HAINIGUE
33 Grande Rue
95290 L’ISLE-ADAM</t>
  </si>
  <si>
    <t>236</t>
  </si>
  <si>
    <t>GEN_0204</t>
  </si>
  <si>
    <t>Monsieur le Docteur Pierre ANDRUET</t>
  </si>
  <si>
    <t>ANDRUET</t>
  </si>
  <si>
    <t>Monsieur le Docteur Pierre ANDRUET
52, Rue de Paris
95270 VIARMES</t>
  </si>
  <si>
    <t>237</t>
  </si>
  <si>
    <t>GEN_0205</t>
  </si>
  <si>
    <t>Monsieur le docteur Pierre GUERIN</t>
  </si>
  <si>
    <t>GUERIN</t>
  </si>
  <si>
    <t>24 rue Charles de Gaulle</t>
  </si>
  <si>
    <t>Monsieur le docteur Pierre GUERIN
24 rue Charles de Gaulle
95 270 LUZARCHES</t>
  </si>
  <si>
    <t>238</t>
  </si>
  <si>
    <t>GEN_0206</t>
  </si>
  <si>
    <t>Monsieur le Docteur Pierre GUERLIN</t>
  </si>
  <si>
    <t>GUERLIN</t>
  </si>
  <si>
    <t>102, rue de Paris</t>
  </si>
  <si>
    <t>Monsieur le Docteur Pierre GUERLIN
102, rue de Paris
95270 VIARMES</t>
  </si>
  <si>
    <t>239</t>
  </si>
  <si>
    <t>GEN_0207</t>
  </si>
  <si>
    <t>Monsieur le Docteur Pierre PÉNICHON</t>
  </si>
  <si>
    <t>PÉNICHON</t>
  </si>
  <si>
    <t>3, Place Hubert Jolivet</t>
  </si>
  <si>
    <t>Monsieur le Docteur Pierre PÉNICHON
3, Place Hubert Jolivet
95 290 L’ISLE-ADAM</t>
  </si>
  <si>
    <t>240</t>
  </si>
  <si>
    <t>GEN_0208</t>
  </si>
  <si>
    <t>Monsieur le Docteur Pierre RANDUINEAU</t>
  </si>
  <si>
    <t>RANDUINEAU</t>
  </si>
  <si>
    <t>67, route de BEAUVAIS</t>
  </si>
  <si>
    <t>Monsieur le Docteur Pierre RANDUINEAU
67, route de BEAUVAIS
60 460 PRECY SUR OISE</t>
  </si>
  <si>
    <t>241</t>
  </si>
  <si>
    <t>GEN_0209</t>
  </si>
  <si>
    <t>Monsieur le Docteur Raphaël BARBAROSSA</t>
  </si>
  <si>
    <t>BARBAROSSA</t>
  </si>
  <si>
    <t>17, Rue du Général Leclerc</t>
  </si>
  <si>
    <t>BELLOY-EN-FRANCE</t>
  </si>
  <si>
    <t>Monsieur le Docteur Raphaël BARBAROSSA
17, Rue du Général Leclerc
95270 BELLOY-EN-FRANCE</t>
  </si>
  <si>
    <t>242;254</t>
  </si>
  <si>
    <t>GEN_0210</t>
  </si>
  <si>
    <t>Monsieur le docteur Serge GRUN</t>
  </si>
  <si>
    <t>Serge</t>
  </si>
  <si>
    <t>GRUN</t>
  </si>
  <si>
    <t>16 bis rue d’Estienne d’Orves</t>
  </si>
  <si>
    <t>Monsieur le docteur Serge GRUN
16 bis rue d’Estienne d’Orves
95 340 PERSAN</t>
  </si>
  <si>
    <t>244</t>
  </si>
  <si>
    <t>GEN_0211</t>
  </si>
  <si>
    <t>Monsieur le Docteur Thierry OUVRARD</t>
  </si>
  <si>
    <t>OUVRARD</t>
  </si>
  <si>
    <t>2, Rue Adrienne BOLLAND</t>
  </si>
  <si>
    <t>Monsieur le Docteur Thierry OUVRARD
2, Rue Adrienne BOLLAND
95 470 FOSSES</t>
  </si>
  <si>
    <t>247</t>
  </si>
  <si>
    <t>GEN_0212</t>
  </si>
  <si>
    <t>Monsieur le Docteur Vincent JACQUIER</t>
  </si>
  <si>
    <t>Vincent</t>
  </si>
  <si>
    <t>JACQUIER</t>
  </si>
  <si>
    <t>88, Rue d’Ermont</t>
  </si>
  <si>
    <t>95390</t>
  </si>
  <si>
    <t>SAINT PRIX</t>
  </si>
  <si>
    <t>Monsieur le Docteur Vincent JACQUIER
88, Rue d’Ermont
95390 SAINT PRIX</t>
  </si>
  <si>
    <t>248</t>
  </si>
  <si>
    <t>GEN_0213</t>
  </si>
  <si>
    <t>Monsieur le Docteur Xavier VOVARD</t>
  </si>
  <si>
    <t>VOVARD</t>
  </si>
  <si>
    <t>17, avenue de la République</t>
  </si>
  <si>
    <t>95550</t>
  </si>
  <si>
    <t>BESSANCOURT</t>
  </si>
  <si>
    <t>Monsieur le Docteur Xavier VOVARD
17, avenue de la République
95550 BESSANCOURT</t>
  </si>
  <si>
    <t>249</t>
  </si>
  <si>
    <t>GEN_0214</t>
  </si>
  <si>
    <t>Monsieur le Docteur Yann HERAULT</t>
  </si>
  <si>
    <t>Yann</t>
  </si>
  <si>
    <t>HERAULT</t>
  </si>
  <si>
    <t>Pôle de Santé - Route Départementale 316</t>
  </si>
  <si>
    <t>Monsieur le Docteur Yann HERAULT
Cabinet médical Péan
Pôle de Santé - Route Départementale 316
95270 CHAUMONTEL</t>
  </si>
  <si>
    <t>250</t>
  </si>
  <si>
    <t>GEN_0215</t>
  </si>
  <si>
    <t>Monsieur le Dr Gabriel FRANÇOIS</t>
  </si>
  <si>
    <t>Monsieur le Dr</t>
  </si>
  <si>
    <t>FRANÇOIS</t>
  </si>
  <si>
    <t>40, rue Charles-de-Gaulle</t>
  </si>
  <si>
    <t>Monsieur le Dr Gabriel FRANÇOIS
40, rue Charles-de-Gaulle
60460 PRÉCY-SUR-OISE</t>
  </si>
  <si>
    <t>Monsieur,</t>
  </si>
  <si>
    <t>251</t>
  </si>
  <si>
    <t>TypeExamen</t>
  </si>
  <si>
    <t>TypesExamensPossibles</t>
  </si>
  <si>
    <t>NomDestinataire</t>
  </si>
  <si>
    <t>Priorite</t>
  </si>
  <si>
    <t>SPE_0001</t>
  </si>
  <si>
    <t>SCINTIGRAPHIE_MYOCARDIQUE</t>
  </si>
  <si>
    <t>SCINTIGRAPHIE_MYOCARDIQUE;TEST_EFFORT</t>
  </si>
  <si>
    <t>HOPITAL PRIVE NORD PARISIEN</t>
  </si>
  <si>
    <t>SCINTIGRAPHIE</t>
  </si>
  <si>
    <t>1 Avenue Charles Peguy</t>
  </si>
  <si>
    <t>01 39 92 34 00</t>
  </si>
  <si>
    <t>HOPITAL PRIVE NORD PARISIEN
SCINTIGRAPHIE
1 Avenue Charles Peguy
95200 SARCELLES
01 39 92 34 00</t>
  </si>
  <si>
    <t>SPE_0002</t>
  </si>
  <si>
    <t>COROSCANNER</t>
  </si>
  <si>
    <t>COROSCANNER;IRM</t>
  </si>
  <si>
    <t>Docteur Jacques FEIGNOUX</t>
  </si>
  <si>
    <t>Jacques</t>
  </si>
  <si>
    <t>FEIGNOUX</t>
  </si>
  <si>
    <t>ANGIOSCANNER CORONAIRE
Docteur Jacques FEIGNOUX
Centre Cardiologique du Nord
32, avenue des Moulins Gémeaux
93207 SAINT-DENIS</t>
  </si>
  <si>
    <t>Mon Cher Jacques,</t>
  </si>
  <si>
    <t>Non</t>
  </si>
  <si>
    <t>Complété par recoupement avec SPT_0003 et SPT_0021.</t>
  </si>
  <si>
    <t>SPE_0003</t>
  </si>
  <si>
    <t>TEST_EFFORT</t>
  </si>
  <si>
    <t>TEST_EFFORT;SCINTIGRAPHIE_MYOCARDIQUE;SCORE_CALCIQUE</t>
  </si>
  <si>
    <t>CARDILEC</t>
  </si>
  <si>
    <t>Centre Cardiologique du Val d'Oise</t>
  </si>
  <si>
    <t>32, avenue Simone Veil</t>
  </si>
  <si>
    <t>95520</t>
  </si>
  <si>
    <t>OSNY</t>
  </si>
  <si>
    <t>01 30 32 43 52</t>
  </si>
  <si>
    <t>CARDILEC
Centre Cardiologique du Val d'Oise
32, avenue Simone Veil
95520 OSNY
Tel : 01 30 32 43 52</t>
  </si>
  <si>
    <t>SPE_0004</t>
  </si>
  <si>
    <t>Centre Cardiologique du Nord
32 avenue des Moulins Gémeaux
93207 SAINT-DENIS</t>
  </si>
  <si>
    <t>SPE_0005</t>
  </si>
  <si>
    <t>Clinique sainte Marie</t>
  </si>
  <si>
    <t>SCORE CALCIQUE</t>
  </si>
  <si>
    <t>1 RUE Paul Emile Victor</t>
  </si>
  <si>
    <t>01.30.17.49.64</t>
  </si>
  <si>
    <t>Clinique sainte Marie
SCORE CALCIQUE
1 RUE Paul Emile Victor
95520 OSNY
01.30.17.49.64</t>
  </si>
  <si>
    <t>SPE_0006</t>
  </si>
  <si>
    <t>AVIS_DIABETOLOGIE</t>
  </si>
  <si>
    <t>Docteur Abir JOSEPH</t>
  </si>
  <si>
    <t>Abir</t>
  </si>
  <si>
    <t>JOSEPH</t>
  </si>
  <si>
    <t>95310</t>
  </si>
  <si>
    <t>Docteur Abir JOSEPH
Clinique du Parc
23, rue des Frères Capucins
95310 SAINT-OUEN-L’AUMÔNE</t>
  </si>
  <si>
    <t>Complété par recoupement avec SPT_0011.</t>
  </si>
  <si>
    <t>SPE_0007</t>
  </si>
  <si>
    <t>AVIS_RYTHMOLOGIE</t>
  </si>
  <si>
    <t>Docteur Olivier PAZIAUD</t>
  </si>
  <si>
    <t>Olivier</t>
  </si>
  <si>
    <t>PAZIAUD</t>
  </si>
  <si>
    <t>Docteur Olivier PAZIAUD
Centre Cardiologique du Nord
32, avenue des Moulins Gémeaux
93207 SAINT-DENIS</t>
  </si>
  <si>
    <t>Mon Cher Olivier,</t>
  </si>
  <si>
    <t>Complété par recoupement avec SPT_0012.</t>
  </si>
  <si>
    <t>SPE_0008</t>
  </si>
  <si>
    <t>AVIS_VASCULAIRE</t>
  </si>
  <si>
    <t>Docteur Tonino PALOMBI</t>
  </si>
  <si>
    <t>Tonino</t>
  </si>
  <si>
    <t>Docteur Tonino PALOMBI
Centre Cardiologique du Nord
32, avenue des Moulins Gémeaux
93207 SAINT-DENIS</t>
  </si>
  <si>
    <t>Complété par recoupement avec SPT_0013.</t>
  </si>
  <si>
    <t>SPE_0009</t>
  </si>
  <si>
    <t>AVIS_GASTRO_ENTEROLOGIE</t>
  </si>
  <si>
    <t>Docteur Pierre AKUE-GOEH</t>
  </si>
  <si>
    <t>AKUE-GOEH</t>
  </si>
  <si>
    <t>Clinique CONTI</t>
  </si>
  <si>
    <t>Docteur Pierre AKUE-GOEH
Clinique CONTI
3, chemin des Sources
95290 L’ISLE-ADAM</t>
  </si>
  <si>
    <t>Complété par recoupement avec SPT_0014.</t>
  </si>
  <si>
    <t>SPE_0010</t>
  </si>
  <si>
    <t>Docteur Olivier PIOT</t>
  </si>
  <si>
    <t>PIOT</t>
  </si>
  <si>
    <t>Docteur Olivier PIOT
Centre Cardiologique du Nord
32, avenue des Moulins Gémeaux
93207 SAINT-DENIS</t>
  </si>
  <si>
    <t>Complété par recoupement avec SPT_0015.</t>
  </si>
  <si>
    <t>SPE_0011</t>
  </si>
  <si>
    <t>AVIS_PNEUMOLOGIE</t>
  </si>
  <si>
    <t>Docteur Ahmad SIMO
Clinique CONTI
3, chemin des Sources
95290 L’ISLE-ADAM</t>
  </si>
  <si>
    <t>Complété par recoupement avec SPT_0016 et Generalistes.</t>
  </si>
  <si>
    <t>SPE_0012</t>
  </si>
  <si>
    <t>TEST_EFFORT;SCINTIGRAPHIE_MYOCARDIQUE</t>
  </si>
  <si>
    <t>Hôpital Privé Nord Parisien</t>
  </si>
  <si>
    <t>2, Avenue Charles Peguy</t>
  </si>
  <si>
    <t>Hôpital Privé Nord Parisien
2, Avenue Charles Peguy
95200 SARCELLES</t>
  </si>
  <si>
    <t>SPE_0013</t>
  </si>
  <si>
    <t>SCORE_CALCIQUE</t>
  </si>
  <si>
    <t>Imagerie CANTILIEN</t>
  </si>
  <si>
    <t>Scanner - Score Calcique</t>
  </si>
  <si>
    <t>12 avenue du Général LECLERC</t>
  </si>
  <si>
    <t>Imagerie CANTILIEN
Scanner - Score Calcique
12 avenue du Général LECLERC
60 500 CHANTILLY</t>
  </si>
  <si>
    <t>SPE_0014</t>
  </si>
  <si>
    <t>IRM</t>
  </si>
  <si>
    <t>IRM cardiaque de repos
Docteur Juliette ROUSSEAU
Centre Cardiologique du Nord
32, avenue des Moulins Gémeaux
93207 SAINT-DENIS</t>
  </si>
  <si>
    <t>Complété par recoupement avec SPT_0020 et Generalistes.</t>
  </si>
  <si>
    <t>SPE_0015</t>
  </si>
  <si>
    <t>SCINTIGRAPHIE PARIS-NORD</t>
  </si>
  <si>
    <t>Dr COHEN</t>
  </si>
  <si>
    <t>1, avenue Charles-Péguy</t>
  </si>
  <si>
    <t>SCINTIGRAPHIE PARIS-NORD
Dr COHEN
1, avenue Charles-Péguy
95200 SARCELLES
01 39 92 34 00</t>
  </si>
  <si>
    <t>SPE_0016</t>
  </si>
  <si>
    <t>SCINTIGRAPHIE_OSSEUSE</t>
  </si>
  <si>
    <t>scintigraphie osseuse</t>
  </si>
  <si>
    <t>SCINTIGRAPHIE PARIS-NORD
scintigraphie osseuse
1 Avenue Charles Peguy
95200 SARCELLES
01 39 92 34 00</t>
  </si>
  <si>
    <t>Type d’examen corrigé par recoupement avec SPT_0005.</t>
  </si>
  <si>
    <t>SPE_0017</t>
  </si>
  <si>
    <t>CLINIQUE DES JOCKEYS</t>
  </si>
  <si>
    <t>Clinique des Jockeys</t>
  </si>
  <si>
    <t>SCORE CALCIQUE
Clinique des Jockeys
60500 CHANTILLY</t>
  </si>
  <si>
    <t>Code postal et ville complétés par recoupement avec SPT_0026.</t>
  </si>
  <si>
    <t>SPE_0018</t>
  </si>
  <si>
    <t>Score calcique</t>
  </si>
  <si>
    <t>Clinique du parc</t>
  </si>
  <si>
    <t>Score calcique
Clinique du parc
60 000 BEAUVAIS</t>
  </si>
  <si>
    <t>SPE_0019</t>
  </si>
  <si>
    <t>SERVICE D’IMAGERIE MÉDICALE – CLINIQUE SAINTE-MARIE</t>
  </si>
  <si>
    <t>Clinique Sainte-Marie</t>
  </si>
  <si>
    <t>1, rue Paul-Émile-Victor</t>
  </si>
  <si>
    <t>SERVICE D’IMAGERIE MÉDICALE
CLINIQUE SAINTE-MARIE
1, rue Paul-Émile-Victor
95520 OSNY</t>
  </si>
  <si>
    <t>Complété par recoupement avec SPT_0030.</t>
  </si>
  <si>
    <t>SPE_0020</t>
  </si>
  <si>
    <t>TESTS_GENETIQUES</t>
  </si>
  <si>
    <t>Service de génétique médicale</t>
  </si>
  <si>
    <t>Hôpital de la Pitié-Salpêtrière</t>
  </si>
  <si>
    <t>75013</t>
  </si>
  <si>
    <t>Service de génétique médicale
Hôpital de la Pitié-Salpêtrière
47-83, boulevard de l’Hôpital
75013 PARIS</t>
  </si>
  <si>
    <t>Complété par recoupement avec SPT_0031.</t>
  </si>
  <si>
    <t>SPE_0021</t>
  </si>
  <si>
    <t>A_COMPLETER</t>
  </si>
  <si>
    <t>CARDIO DÉPÔT</t>
  </si>
  <si>
    <t>3 rue Théophraste Renaudot</t>
  </si>
  <si>
    <t>54180</t>
  </si>
  <si>
    <t>HOUDÉMONT</t>
  </si>
  <si>
    <t>CARDIO DÉPÔT
3 rue Théophraste Renaudot
54 180 HOUDÉMONT</t>
  </si>
  <si>
    <t>TypeExamen non déterminable par recoupement interne ; laissé à A_COMPLETER.</t>
  </si>
  <si>
    <t>SPE_0022</t>
  </si>
  <si>
    <t>ECHODOPPLER_VAISSEAUX_DU_COU</t>
  </si>
  <si>
    <t>ECHODOPPLER_VAISSEAUX_DU_COU;ECHODOPPLER_MEMBRES_INFERIEURS;ECHODOPPLER_VEINEUX;ECHODOPPLER_ARTERIEL</t>
  </si>
  <si>
    <t>Docteur Ara LOSHKAJIAN</t>
  </si>
  <si>
    <t>Centre d’imagerie médicale</t>
  </si>
  <si>
    <t>Bâtiment C1</t>
  </si>
  <si>
    <t>13, rue Victor Hugo</t>
  </si>
  <si>
    <t>ECHODOPPLER
Docteur Ara LOSHKAJIAN
Centre d’imagerie médicale
Bâtiment C1
13, rue Victor Hugo
60500 CHANTILLY</t>
  </si>
  <si>
    <t>Complété par recoupement avec Generalistes GEN_0172 et Specialistes_ParType.</t>
  </si>
  <si>
    <t>ECHODOPPLER_MEMBRES_INFERIEURS</t>
  </si>
  <si>
    <t>ECHODOPPLER_VEINEUX</t>
  </si>
  <si>
    <t>ECHODOPPLER_ARTERIEL</t>
  </si>
  <si>
    <t>ID_Ligne</t>
  </si>
  <si>
    <t>ID_Specialiste</t>
  </si>
  <si>
    <t>CleRegroupement</t>
  </si>
  <si>
    <t>FormulePolitesse</t>
  </si>
  <si>
    <t>SPT_0015</t>
  </si>
  <si>
    <t>Centre Cardiologique du Nord
32, avenue des Moulins Gémeaux
93207 SAINT-DENIS</t>
  </si>
  <si>
    <t>CCN_RYTHMOLOGIE_PIOT</t>
  </si>
  <si>
    <t>Amitiés.</t>
  </si>
  <si>
    <t>SPT_0012</t>
  </si>
  <si>
    <t>Docteur Olivier PAZIAUD
Centre Cardiologique du Nord
32 avenue des Moulins Gémeaux
93207 SAINT-DENIS</t>
  </si>
  <si>
    <t>CCN_RYTHMOLOGIE_PAZIAUD</t>
  </si>
  <si>
    <t>SPT_0003</t>
  </si>
  <si>
    <t>ANGIOSCANNER CORONAIRE
Docteur Jacques FEIGNOUX
Centre Cardiologique du Nord
32 avenue des Moulins Gémeaux
93207 SAINT-DENIS</t>
  </si>
  <si>
    <t>CCN_COROSCANNER_FEIGNOUX</t>
  </si>
  <si>
    <t>SPT_0011</t>
  </si>
  <si>
    <t>Clinique Du PARC
23, Rue des Frères Capucins
95310 SAINT OUEN L'AUMONE</t>
  </si>
  <si>
    <t>SAINT OUEN L'AUMONE</t>
  </si>
  <si>
    <t>Docteur Abir JOSEPH
Clinique Du PARC
23, Rue des Frères Capucins
95310 SAINT OUEN L'AUMONE</t>
  </si>
  <si>
    <t>CLINIQUE_DU_PARC_SAINT_OUEN</t>
  </si>
  <si>
    <t>SPT_0033</t>
  </si>
  <si>
    <t>Centre d’imagerie médicale
Bâtiment C1
13, rue Victor Hugo
60500 CHANTILLY</t>
  </si>
  <si>
    <t>SPT_0014</t>
  </si>
  <si>
    <t>CLINIQUE CONTI
3, chemin des Sources
95290 L’Isle-Adam</t>
  </si>
  <si>
    <t>Docteur Pierre AKUE-GOEH
CLINIQUE CONTI
3, chemin des Sources
95290 L’Isle-Adam</t>
  </si>
  <si>
    <t>CONTI_GASTRO_AKUE</t>
  </si>
  <si>
    <t>SPT_0021</t>
  </si>
  <si>
    <t>IRM cardiaque de repos
Docteur Jacques FEIGNOUX
Centre Cardiologique du Nord
32, avenue des Moulins Gémeaux
93207 SAINT-DENIS</t>
  </si>
  <si>
    <t>CCN_IRM_FEIGNOUX</t>
  </si>
  <si>
    <t>SPT_0020</t>
  </si>
  <si>
    <t>CCN_IRM_ROUSSEAU</t>
  </si>
  <si>
    <t>SPT_0016</t>
  </si>
  <si>
    <t>CONTI_PNEUMO_SIMO</t>
  </si>
  <si>
    <t>SPT_0001</t>
  </si>
  <si>
    <t>Docteur Joseph COHEN</t>
  </si>
  <si>
    <t>HOPITAL PRIVE NORD PARISIEN
2, Avenue Charles Peguy
95200 SARCELLES</t>
  </si>
  <si>
    <t>HOPITAL PRIVE NORD PARISIEN
Docteur Joseph COHEN
SCINTIGRAPHIE
2, Avenue Charles Peguy
95200 SARCELLES
01 39 92 34 00</t>
  </si>
  <si>
    <t>Mon Très Cher Joseph,</t>
  </si>
  <si>
    <t>HPNP_SCINTIGRAPHIE_MYOCARDIQUE</t>
  </si>
  <si>
    <t>SPT_0005</t>
  </si>
  <si>
    <t>HOPITAL PRIVE NORD PARISIEN
2, Avenue Charles Peguy
95200 SARCELLES
01 39 92 34 00</t>
  </si>
  <si>
    <t>HPNP_SCINTIGRAPHIE_OSSEUSE</t>
  </si>
  <si>
    <t>SPT_0027</t>
  </si>
  <si>
    <t>CLINIQUE DU PARC</t>
  </si>
  <si>
    <t>Clinique du parc
60 000 BEAUVAIS</t>
  </si>
  <si>
    <t>CLINIQUE_DU_PARC_BEAUVAIS</t>
  </si>
  <si>
    <t>Bien cordialement.</t>
  </si>
  <si>
    <t>SPT_0019</t>
  </si>
  <si>
    <t>Imagerie CANTILIEN
12, avenue du Général Leclerc
60500 CHANTILLY</t>
  </si>
  <si>
    <t>Imagerie CANTILIEN
Scanner - Score Calcique
12, avenue du Général Leclerc
60500 CHANTILLY</t>
  </si>
  <si>
    <t>JOCKEYS</t>
  </si>
  <si>
    <t>SPT_0026</t>
  </si>
  <si>
    <t>SCORE CALCIQUE
Clinique des jockeys
60 500 CHANTILLY</t>
  </si>
  <si>
    <t>SPT_0030</t>
  </si>
  <si>
    <t>SERVICE D'IMAGERIE MEDICALE
CLINIQUE SAINTE MARIE</t>
  </si>
  <si>
    <t>Clinique sainte Marie
1 rue Paul Emile Victor
95520 OSNY</t>
  </si>
  <si>
    <t>Score calcique
Clinique sainte Marie
1 rue Paul Emile Victor
95520 OSNY</t>
  </si>
  <si>
    <t>SAINTE_MARIE_IMAGERIE_OSNY</t>
  </si>
  <si>
    <t>SPT_0004</t>
  </si>
  <si>
    <t>Centre Cardiologique du Val d'Oise
32, avenue Simone Veil
95520 OSNY
Tel : 01 30 32 43 52</t>
  </si>
  <si>
    <t>CARDILEC_OSNY</t>
  </si>
  <si>
    <t>SPT_0002</t>
  </si>
  <si>
    <t>HOPITAL PRIVE NORD PARISIEN
TEST D'EFFORT
1 Avenue Charles Peguy
95200 SARCELLES
01 39 92 34 00</t>
  </si>
  <si>
    <t>HPNP_TEST_D_EFFORT</t>
  </si>
  <si>
    <t>SPT_0013</t>
  </si>
  <si>
    <t>Docteur Tonino PALOMBI
Centre Cardiologique du Nord
32 avenue des Moulins Gémeaux
93207 SAINT-DENIS</t>
  </si>
  <si>
    <t>CCN_VASCULAIRE_PALOMBI</t>
  </si>
  <si>
    <t>SPT_0034</t>
  </si>
  <si>
    <t>SPT_0035</t>
  </si>
  <si>
    <t>SPT_0036</t>
  </si>
  <si>
    <t>SPT_0031</t>
  </si>
  <si>
    <t>Hôpital de la Pitié-Salpêtrière
47-83 boulevard de l'Hôpital
75013 PARIS</t>
  </si>
  <si>
    <t>Service de génétique médicale
Hôpital de la Pitié-Salpêtrière
47-83 boulevard de l'Hôpital
75013 PARIS</t>
  </si>
  <si>
    <t>Tests_Génétiques</t>
  </si>
  <si>
    <t>Liste</t>
  </si>
  <si>
    <t>Valeur</t>
  </si>
  <si>
    <t>AVIS_NEUROLOGIE</t>
  </si>
  <si>
    <t>OuiNon</t>
  </si>
  <si>
    <t>Base de travail correspondants - v1</t>
  </si>
  <si>
    <t>Cette base a été générée automatiquement à partir des blocs destinataires fournis.</t>
  </si>
  <si>
    <t>Les colonnes AValider sont volontairement à Oui : il faut relire et corriger avant usage en production.</t>
  </si>
  <si>
    <t>Feuille Generalistes : base des correspondants des courriers principaux.</t>
  </si>
  <si>
    <t>Feuille Specialistes : base des correspondants/centres pour examens et avis.</t>
  </si>
  <si>
    <t>Feuille Specialistes_ParType : version dépliée, une ligne par type d'examen et destination, plus directement exploitable en VBA.</t>
  </si>
  <si>
    <t>Feuille Listes : valeurs standardisées pour validations et futures macros.</t>
  </si>
  <si>
    <t>Colonnes à corriger en priorité : FormuleAppel, TutoiementVouvoiement, TypeExamen/TypesExamensPossibles, Actif, AValider.</t>
  </si>
  <si>
    <t>Les adresses ou codes postaux non reconnus sont signalés dans CommentaireExtraction.</t>
  </si>
  <si>
    <t>ID_Structure</t>
  </si>
  <si>
    <t>STR_0012</t>
  </si>
  <si>
    <t>STR_0013</t>
  </si>
  <si>
    <t>STR_0003</t>
  </si>
  <si>
    <t>STR_0021</t>
  </si>
  <si>
    <t>STR_0011</t>
  </si>
  <si>
    <t>STR_0009</t>
  </si>
  <si>
    <t>STR_0017</t>
  </si>
  <si>
    <t>STR_0014</t>
  </si>
  <si>
    <t>STR_0007</t>
  </si>
  <si>
    <t>STR_0005</t>
  </si>
  <si>
    <t>STR_0018</t>
  </si>
  <si>
    <t>STR_0015</t>
  </si>
  <si>
    <t>STR_0001</t>
  </si>
  <si>
    <t>STR_0010</t>
  </si>
  <si>
    <t>STR_0006</t>
  </si>
  <si>
    <t>STR_0016</t>
  </si>
  <si>
    <t>STR_0019</t>
  </si>
  <si>
    <t>STR_0008</t>
  </si>
  <si>
    <t>STR_0020</t>
  </si>
  <si>
    <t>STR_0002</t>
  </si>
  <si>
    <t>STR_0004</t>
  </si>
  <si>
    <t>Nouvelle feuille Structures : référentiel unique des établissements utilisables par le futur formulaire de saisie.</t>
  </si>
  <si>
    <t>ID_Structure sera la clé technique utilisée par le formulaire Word ; NomStructure sera affiché dans la liste déroulante.</t>
  </si>
  <si>
    <t>AValider=Oui signale une structure dont les données extraites sont ambiguës ou divergentes dans la base actuelle.</t>
  </si>
  <si>
    <t>Le contrôle de doublons des structures et des correspondants sera réalisé par le futur module VBA avant tout enregistrement.</t>
  </si>
  <si>
    <t>Feuille Saisie_Correspondants : zone technique utilisée par le futur formulaire Word ; les cellules jaunes reçoivent les données minimales saisies.</t>
  </si>
  <si>
    <t>Les cellules bleues de Saisie_Correspondants sont calculées par Excel et servent à alimenter automatiquement Generalistes / Specialistes / Specialistes_ParType.</t>
  </si>
  <si>
    <t>La structure est référencée par ID_Structure ; si aucun ID n'est fourni, l'adresse manuelle est utilisée.</t>
  </si>
  <si>
    <t>Le contrôle des doublons sera réalisé par VBA avant l'enregistrement définitif.</t>
  </si>
  <si>
    <t>NomStructure</t>
  </si>
  <si>
    <t>CleNormalisee</t>
  </si>
  <si>
    <t>SourceIDs</t>
  </si>
  <si>
    <t>Commentaire</t>
  </si>
  <si>
    <t>cardilec</t>
  </si>
  <si>
    <t>La séparation structure/service/adresse mérite une validation.</t>
  </si>
  <si>
    <t>cardio depot</t>
  </si>
  <si>
    <t>centre cardiologique du nord</t>
  </si>
  <si>
    <t>GEN_0053;SPE_0002;SPE_0004;SPE_0007;SPE_0008;SPE_0010;SPE_0014</t>
  </si>
  <si>
    <t>centre d imagerie medicale</t>
  </si>
  <si>
    <t>centre municipal de sante</t>
  </si>
  <si>
    <t>clinique conti</t>
  </si>
  <si>
    <t>SPE_0009;SPE_0011</t>
  </si>
  <si>
    <t>clinique de domont</t>
  </si>
  <si>
    <t>clinique des jockeys</t>
  </si>
  <si>
    <t>clinique du parc</t>
  </si>
  <si>
    <t>GEN_0076;SPE_0006</t>
  </si>
  <si>
    <t>clinique sainte marie</t>
  </si>
  <si>
    <t>SPE_0005;SPE_0019</t>
  </si>
  <si>
    <t>Données divergentes dans la base : SPE_0005: SCORE CALCIQUE | 1 RUE Paul Emile Victor | 95520 OSNY | 01.30.17.49.64 ; SPE_0019: 1, rue Paul-Émile-Victor |  | 95520 OSNY |</t>
  </si>
  <si>
    <t>hopital bertinot juel</t>
  </si>
  <si>
    <t>hopital novo site de beaumont sur oise</t>
  </si>
  <si>
    <t>hopital novo site de pontoise</t>
  </si>
  <si>
    <t>hopital pitie salpetriere</t>
  </si>
  <si>
    <t>SPE_0020;GEN_0112</t>
  </si>
  <si>
    <t>hopital prive nord parisien</t>
  </si>
  <si>
    <t>SPE_0001;SPE_0012</t>
  </si>
  <si>
    <t>Données divergentes dans la base : SPE_0001: SCINTIGRAPHIE | 1 Avenue Charles Peguy | 95200 SARCELLES | 01 39 92 34 00 ; SPE_0012: 2, Avenue Charles Peguy |  | 95200 SARCELLES |</t>
  </si>
  <si>
    <t>imagerie cantilien</t>
  </si>
  <si>
    <t>maison medicale des vergers</t>
  </si>
  <si>
    <t>rd 316 pole de sante de chaumontel</t>
  </si>
  <si>
    <t>scintigraphie paris nord</t>
  </si>
  <si>
    <t>SPE_0015;SPE_0016</t>
  </si>
  <si>
    <t>Données divergentes dans la base : SPE_0015: Dr COHEN | 1, avenue Charles-Péguy | 95200 SARCELLES | 01 39 92 34 00 ; SPE_0016: scintigraphie osseuse | 1 Avenue Charles Peguy | 95200 SARCELLES | 01 39 92 34 00 La séparation structure/service/adresse mérite une validation.</t>
  </si>
  <si>
    <t>score calcique</t>
  </si>
  <si>
    <t>Nom issu du champ Structure mais semble correspondre à un examen/service ; à valider.</t>
  </si>
  <si>
    <t>service d hematologie hopital novo site de pontoise</t>
  </si>
  <si>
    <t>SAISIE TECHNIQUE — NOUVEAU CORRESPONDANT</t>
  </si>
  <si>
    <t>CHAMPS SAISIS PAR LE FORMULAIRE</t>
  </si>
  <si>
    <t>CHAMPS CALCULÉS PAR EXCEL</t>
  </si>
  <si>
    <t>TypeCorrespondant</t>
  </si>
  <si>
    <t>Sexe</t>
  </si>
  <si>
    <t>Prenom</t>
  </si>
  <si>
    <t>Adresse1Manuelle</t>
  </si>
  <si>
    <t>Adresse1Effective</t>
  </si>
  <si>
    <t>Adresse2Manuelle</t>
  </si>
  <si>
    <t>Adresse2Effective</t>
  </si>
  <si>
    <t>CodePostalManuel</t>
  </si>
  <si>
    <t>CodePostalEffectif</t>
  </si>
  <si>
    <t>VilleManuelle</t>
  </si>
  <si>
    <t>VilleEffective</t>
  </si>
  <si>
    <t>TelephoneManuel</t>
  </si>
  <si>
    <t>TelephoneEffectif</t>
  </si>
  <si>
    <t>TypesExamens</t>
  </si>
  <si>
    <t>FormuleAppelForcee</t>
  </si>
  <si>
    <t>BlocStructureComplet</t>
  </si>
  <si>
    <t>TypeExamenPrincipal</t>
  </si>
  <si>
    <t>CommentaireCreation</t>
  </si>
  <si>
    <t>RÈGLES DU FUTUR FORMULAIRE WORD</t>
  </si>
  <si>
    <t>•</t>
  </si>
  <si>
    <t>La secrétaire choisira la structure dans une liste déroulante. Le formulaire enregistrera son ID technique dans B8.</t>
  </si>
  <si>
    <t>Si aucune structure n'est sélectionnée, les champs d'adresse manuelle B9:B13 seront utilisés.</t>
  </si>
  <si>
    <t>Le contrôle des doublons sera effectué par VBA avant toute écriture dans Generalistes ou Specialistes.</t>
  </si>
  <si>
    <t>Pour un spécialiste, B15 recevra un ou plusieurs TypeExamen séparés par des points-virgules.</t>
  </si>
  <si>
    <t>Une nouvelle structure sera créée dans Structures après contrôle de doublon, puis sélectionnée automatiquement.</t>
  </si>
  <si>
    <t>Cette feuille sera masquée lorsque le formulaire sera définitivement validé.</t>
  </si>
  <si>
    <t>SAOS</t>
  </si>
  <si>
    <t>Samir</t>
  </si>
  <si>
    <t>MEDANE</t>
  </si>
  <si>
    <t>43 ter avenue Jean JAURES</t>
  </si>
  <si>
    <t>SPE_0023</t>
  </si>
  <si>
    <t>Docteur Samir MEDANE</t>
  </si>
  <si>
    <t>Docteur Samir MEDANE
43 ter avenue Jean JAURES
95330 DOMONT</t>
  </si>
  <si>
    <t>Créé par formulaire Word</t>
  </si>
  <si>
    <t>SPT_0037</t>
  </si>
  <si>
    <t>43 ter avenue Jean JAURES
95330 DOMONT</t>
  </si>
  <si>
    <t>AUTO_SPE_0023</t>
  </si>
  <si>
    <t>Paul-Henri</t>
  </si>
  <si>
    <t>DEPOORTERE</t>
  </si>
  <si>
    <t>95 290</t>
  </si>
  <si>
    <t>L'ISLE ADAM</t>
  </si>
  <si>
    <t>SPE_0024</t>
  </si>
  <si>
    <t>Docteur Paul-Henri DEPOORTERE</t>
  </si>
  <si>
    <t>Docteur Paul-Henri DEPOORTERE
10? Avenue Paul THOUREAU
95 290 L'ISLE ADAM</t>
  </si>
  <si>
    <t>Mon Cher Paul-Henri,</t>
  </si>
  <si>
    <t>SPT_0038</t>
  </si>
  <si>
    <t>10? Avenue Paul THOUREAU
95 290 L'ISLE ADAM</t>
  </si>
  <si>
    <t>AUTO_SPE_0024</t>
  </si>
  <si>
    <t>10, Avenue Paul THOUREAU</t>
  </si>
  <si>
    <t>Docteur Paul-Henri DEPOORTERE
10, Avenue Paul THOUREAU
95 290 L'ISLE ADAM</t>
  </si>
  <si>
    <t>SCANNER THORACIQUE sans injection</t>
  </si>
  <si>
    <t>ANGIOSCANNER PULMONAIRE</t>
  </si>
  <si>
    <t>.</t>
  </si>
  <si>
    <t>SPE_0025</t>
  </si>
  <si>
    <t>Docteur . MONSIEUR LE RADIOLOGUE</t>
  </si>
  <si>
    <t>MONSIEUR LE RADIOLOGUE</t>
  </si>
  <si>
    <t>Docteur . MONSIEUR LE RADIOLOGUE
Clinique Sainte-Marie
1, rue Paul-Émile-Victor
95520 OSNY
01.30.17.49.64</t>
  </si>
  <si>
    <t>SPT_0039</t>
  </si>
  <si>
    <t>Clinique Sainte-Marie
1, rue Paul-Émile-Victor
95520 OSNY
01.30.17.49.64</t>
  </si>
  <si>
    <t>AUTO_SPE_0025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</si>
</sst>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>
    <font>
      <sz val="11"/>
      <name val="Carlito"/>
    </font>
    <font>
      <b/>
      <sz val="11"/>
      <color rgb="FFFFFFFF"/>
      <name val="Carlito"/>
    </font>
    <font>
      <b/>
      <sz val="14"/>
      <color rgb="FFFFFFFF"/>
      <name val="Carlito"/>
    </font>
    <font>
      <sz val="11"/>
      <color theme="1"/>
      <name val="Carlito"/>
    </font>
    <font>
      <b/>
      <sz val="11"/>
      <color rgb="FF1F1F1F"/>
      <name val="Carlito"/>
    </font>
    <font>
      <b/>
      <sz val="11"/>
      <name val="Carlito"/>
    </font>
  </fonts>
  <fills count="16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theme="4" tint="0.79992065187536243"/>
        <bgColor indexed="65"/>
      </patternFill>
    </fill>
    <fill>
      <patternFill patternType="solid">
        <fgColor rgb="FF1F4E78"/>
      </patternFill>
    </fill>
    <fill>
      <patternFill patternType="solid">
        <fgColor rgb="FFB7DEE8"/>
      </patternFill>
    </fill>
    <fill>
      <patternFill patternType="solid">
        <fgColor rgb="FFFFFFFF"/>
      </patternFill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E2F0D9"/>
      </patternFill>
    </fill>
    <fill>
      <patternFill patternType="solid">
        <fgColor rgb="FFF2F2F2"/>
      </patternFill>
    </fill>
    <fill>
      <patternFill patternType="solid">
        <fgColor rgb="FFFFF2CC"/>
      </patternFill>
    </fill>
    <fill>
      <patternFill patternType="solid">
        <fgColor rgb="FFEAF3F8"/>
      </patternFill>
    </fill>
    <fill>
      <patternFill patternType="solid">
        <fgColor rgb="FFFFFFFF"/>
      </patternFill>
    </fill>
  </fills>
  <borders count="4">
    <border>
      <left/>
      <right/>
      <top/>
      <bottom/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0" fillId="0" borderId="0" xfId="0" applyNumberFormat="1" applyFont="1" applyFill="1" applyBorder="1" applyAlignment="1">
      <alignment wrapText="1"/>
    </xf>
    <xf numFmtId="0" fontId="1" fillId="2" borderId="0" xfId="0" applyNumberFormat="1" applyFont="1" applyFill="1" applyBorder="1" applyAlignment="1">
      <alignment horizontal="center" vertical="top" wrapText="1"/>
    </xf>
    <xf numFmtId="0" fontId="0" fillId="0" borderId="0" xfId="0" applyNumberFormat="1" applyFont="1" applyFill="1" applyBorder="1" applyAlignment="1">
      <alignment vertical="top" wrapText="1"/>
    </xf>
    <xf numFmtId="0" fontId="2" fillId="2" borderId="0" xfId="0" applyNumberFormat="1" applyFont="1" applyFill="1" applyBorder="1" applyAlignment="1">
      <alignment wrapText="1"/>
    </xf>
    <xf numFmtId="0" fontId="3" fillId="0" borderId="1" xfId="0" applyNumberFormat="1" applyFont="1" applyBorder="1" applyAlignment="1">
      <alignment vertical="top" wrapText="1"/>
    </xf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2" fontId="1" fillId="2" borderId="0" xfId="0" applyNumberFormat="1" applyFont="1" applyFill="1" applyBorder="1" applyAlignment="1">
      <alignment horizontal="center" vertical="top" wrapText="1"/>
    </xf>
    <xf numFmtId="0" fontId="3" fillId="0" borderId="1" xfId="0" applyFont="1" applyBorder="1" applyAlignment="1">
      <alignment vertical="top"/>
    </xf>
    <xf numFmtId="0" fontId="3" fillId="3" borderId="2" xfId="0" applyNumberFormat="1" applyFont="1" applyFill="1" applyBorder="1" applyAlignment="1">
      <alignment vertical="top" wrapText="1"/>
    </xf>
    <xf numFmtId="0" fontId="3" fillId="0" borderId="2" xfId="0" applyFont="1" applyBorder="1" applyAlignment="1">
      <alignment vertical="top" wrapText="1"/>
    </xf>
    <xf numFmtId="0" fontId="3" fillId="0" borderId="2" xfId="0" applyFont="1" applyBorder="1" applyAlignment="1">
      <alignment vertical="top"/>
    </xf>
    <xf numFmtId="0" fontId="3" fillId="3" borderId="3" xfId="0" applyNumberFormat="1" applyFont="1" applyFill="1" applyBorder="1" applyAlignment="1">
      <alignment vertical="top" wrapText="1"/>
    </xf>
    <xf numFmtId="0" fontId="3" fillId="3" borderId="1" xfId="0" applyFont="1" applyFill="1" applyBorder="1" applyAlignment="1">
      <alignment vertical="top"/>
    </xf>
    <xf numFmtId="0" fontId="1" fillId="4" borderId="0" xfId="0" applyNumberFormat="1" applyFont="1" applyFill="1" applyBorder="1" applyAlignment="1">
      <alignment horizontal="center" vertical="center" wrapText="1"/>
    </xf>
    <xf numFmtId="0" fontId="0" fillId="5" borderId="0" xfId="0" applyNumberFormat="1" applyFont="1" applyFill="1" applyBorder="1" applyAlignment="1">
      <alignment vertical="center" wrapText="1"/>
    </xf>
    <xf numFmtId="0" fontId="0" fillId="6" borderId="0" xfId="0" applyNumberFormat="1" applyFont="1" applyFill="1" applyBorder="1" applyAlignment="1">
      <alignment vertical="center" wrapText="1"/>
    </xf>
    <xf numFmtId="0" fontId="1" fillId="7" borderId="0" xfId="0" applyNumberFormat="1" applyFont="1" applyFill="1" applyBorder="1" applyAlignment="1">
      <alignment horizontal="center" vertical="center" wrapText="1"/>
    </xf>
    <xf numFmtId="0" fontId="0" fillId="8" borderId="0" xfId="0" applyNumberFormat="1" applyFont="1" applyFill="1" applyBorder="1" applyAlignment="1">
      <alignment vertical="top" wrapText="1"/>
    </xf>
    <xf numFmtId="49" fontId="0" fillId="8" borderId="0" xfId="0" applyNumberFormat="1" applyFont="1" applyFill="1" applyBorder="1" applyAlignment="1">
      <alignment vertical="top" wrapText="1"/>
    </xf>
    <xf numFmtId="49" fontId="0" fillId="0" borderId="0" xfId="0" applyNumberFormat="1" applyFont="1" applyFill="1" applyBorder="1" applyAlignment="1">
      <alignment vertical="top" wrapText="1"/>
    </xf>
    <xf numFmtId="49" fontId="0" fillId="0" borderId="0" xfId="0" applyNumberFormat="1" applyFont="1" applyFill="1" applyBorder="1"/>
    <xf numFmtId="0" fontId="4" fillId="10" borderId="0" xfId="0" applyNumberFormat="1" applyFont="1" applyFill="1" applyBorder="1" applyAlignment="1">
      <alignment wrapText="1"/>
    </xf>
    <xf numFmtId="0" fontId="5" fillId="12" borderId="0" xfId="0" applyNumberFormat="1" applyFont="1" applyFill="1" applyBorder="1" applyAlignment="1">
      <alignment wrapText="1"/>
    </xf>
    <xf numFmtId="0" fontId="0" fillId="13" borderId="0" xfId="0" applyNumberFormat="1" applyFont="1" applyFill="1" applyBorder="1" applyAlignment="1">
      <alignment wrapText="1"/>
    </xf>
    <xf numFmtId="0" fontId="0" fillId="14" borderId="0" xfId="0" applyNumberFormat="1" applyFont="1" applyFill="1" applyBorder="1" applyAlignment="1">
      <alignment wrapText="1"/>
    </xf>
    <xf numFmtId="0" fontId="4" fillId="11" borderId="0" xfId="0" applyNumberFormat="1" applyFont="1" applyFill="1" applyBorder="1" applyAlignment="1">
      <alignment wrapText="1"/>
    </xf>
    <xf numFmtId="0" fontId="4" fillId="12" borderId="0" xfId="0" applyNumberFormat="1" applyFont="1" applyFill="1" applyBorder="1" applyAlignment="1">
      <alignment wrapText="1"/>
    </xf>
    <xf numFmtId="0" fontId="4" fillId="14" borderId="0" xfId="0" applyNumberFormat="1" applyFont="1" applyFill="1" applyBorder="1" applyAlignment="1">
      <alignment wrapText="1"/>
    </xf>
    <xf numFmtId="0" fontId="4" fillId="15" borderId="0" xfId="0" applyNumberFormat="1" applyFont="1" applyFill="1" applyBorder="1" applyAlignment="1">
      <alignment wrapText="1"/>
    </xf>
    <xf numFmtId="0" fontId="1" fillId="2" borderId="0" xfId="0" applyNumberFormat="1" applyFont="1" applyFill="1" applyBorder="1" applyAlignment="1" applyProtection="1">
      <alignment horizontal="center" vertical="top" wrapText="1"/>
      <protection locked="0"/>
    </xf>
    <xf numFmtId="0" fontId="0" fillId="0" borderId="0" xfId="0" applyProtection="1">
      <protection locked="0"/>
    </xf>
    <xf numFmtId="0" fontId="0" fillId="0" borderId="0" xfId="0" applyNumberFormat="1" applyFont="1" applyFill="1" applyBorder="1" applyAlignment="1" applyProtection="1">
      <alignment vertical="top" wrapText="1"/>
      <protection locked="0"/>
    </xf>
    <xf numFmtId="0" fontId="0" fillId="0" borderId="0" xfId="0" applyNumberFormat="1" applyFont="1" applyFill="1" applyBorder="1" applyAlignment="1" applyProtection="1">
      <alignment wrapText="1"/>
      <protection locked="0"/>
    </xf>
    <xf numFmtId="0" fontId="0" fillId="0" borderId="0" xfId="0" applyAlignment="1">
      <alignment wrapText="1"/>
    </xf>
    <xf numFmtId="0" fontId="0" fillId="0" borderId="0" xfId="0" applyNumberFormat="1" applyFont="1" applyFill="1" applyBorder="1" applyAlignment="1">
      <alignment wrapText="1"/>
    </xf>
    <xf numFmtId="0" fontId="2" fillId="9" borderId="0" xfId="0" applyNumberFormat="1" applyFont="1" applyFill="1" applyBorder="1" applyAlignment="1">
      <alignment horizontal="center" vertical="center" wrapText="1"/>
    </xf>
    <xf numFmtId="0" fontId="4" fillId="11" borderId="0" xfId="0" applyNumberFormat="1" applyFont="1" applyFill="1" applyBorder="1" applyAlignment="1">
      <alignment wrapText="1"/>
    </xf>
  </cellXfs>
  <cellStyles count="1">
    <cellStyle name="Normal" xfId="0" builtinId="0"/>
  </cellStyles>
  <dxfs count="5"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ables/table1.xml><?xml version="1.0" encoding="utf-8"?>
<table xmlns="http://schemas.openxmlformats.org/spreadsheetml/2006/main" id="1" name="GeneralistesTable" displayName="GeneralistesTable" ref="A1:T215">
  <tableColumns count="20">
    <tableColumn id="1" name="ID"/>
    <tableColumn id="2" name="NomAffichage"/>
    <tableColumn id="3" name="Titre"/>
    <tableColumn id="4" name="Civilite"/>
    <tableColumn id="5" name="PrenomOuInitiale"/>
    <tableColumn id="6" name="Nom"/>
    <tableColumn id="7" name="Structure"/>
    <tableColumn id="8" name="Adresse1"/>
    <tableColumn id="9" name="Adresse2"/>
    <tableColumn id="10" name="CodePostal"/>
    <tableColumn id="11" name="Ville"/>
    <tableColumn id="12" name="Telephone"/>
    <tableColumn id="13" name="BlocDestinataireComplet"/>
    <tableColumn id="14" name="FormuleAppel"/>
    <tableColumn id="15" name="TutoiementVouvoiement"/>
    <tableColumn id="16" name="NombreOccurrences"/>
    <tableColumn id="17" name="SourceLignes"/>
    <tableColumn id="18" name="Actif"/>
    <tableColumn id="19" name="AValider"/>
    <tableColumn id="20" name="CommentaireExtraction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SpecialistesTable" displayName="SpecialistesTable" ref="A1:U29">
  <tableColumns count="21">
    <tableColumn id="1" name="ID"/>
    <tableColumn id="2" name="TypeExamen"/>
    <tableColumn id="3" name="TypesExamensPossibles"/>
    <tableColumn id="4" name="NomDestinataire"/>
    <tableColumn id="5" name="Titre"/>
    <tableColumn id="6" name="Civilite"/>
    <tableColumn id="7" name="PrenomOuInitiale"/>
    <tableColumn id="8" name="Nom"/>
    <tableColumn id="9" name="Structure"/>
    <tableColumn id="10" name="Adresse1"/>
    <tableColumn id="11" name="Adresse2"/>
    <tableColumn id="12" name="CodePostal"/>
    <tableColumn id="13" name="Ville"/>
    <tableColumn id="14" name="Telephone"/>
    <tableColumn id="15" name="BlocDestinataireComplet"/>
    <tableColumn id="16" name="FormuleAppel"/>
    <tableColumn id="17" name="TutoiementVouvoiement"/>
    <tableColumn id="18" name="Priorite"/>
    <tableColumn id="19" name="Actif"/>
    <tableColumn id="20" name="AValider"/>
    <tableColumn id="21" name="CommentaireExtraction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Specialistes_ParTypeTable" displayName="Specialistes_ParTypeTable" ref="A1:O19">
  <tableColumns count="15">
    <tableColumn id="1" name="ID_Ligne"/>
    <tableColumn id="2" name="ID_Specialiste"/>
    <tableColumn id="3" name="TypeExamen"/>
    <tableColumn id="4" name="NomDestinataire"/>
    <tableColumn id="5" name="Structure"/>
    <tableColumn id="6" name="CodePostal"/>
    <tableColumn id="7" name="Ville"/>
    <tableColumn id="8" name="BlocDestinataireComplet"/>
    <tableColumn id="9" name="FormuleAppel"/>
    <tableColumn id="10" name="Priorite"/>
    <tableColumn id="11" name="Actif"/>
    <tableColumn id="12" name="AValider"/>
    <tableColumn id="13" name="CleRegroupement"/>
    <tableColumn id="14" name="FormulePolitesse"/>
    <tableColumn id="15" name="TutoiementVouvoiement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ListesTable" displayName="ListesTable" ref="A1:B24" headerRowDxfId="4" dataDxfId="3" totalsRowDxfId="2">
  <tableColumns count="2">
    <tableColumn id="1" name="Liste" dataDxfId="1"/>
    <tableColumn id="2" name="Valeur" dataDxfId="0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StructuresTable" displayName="StructuresTable" ref="A1:L22" totalsRowShown="0">
  <tableColumns count="12">
    <tableColumn id="1" name="ID_Structure"/>
    <tableColumn id="2" name="NomStructure"/>
    <tableColumn id="3" name="Adresse1"/>
    <tableColumn id="4" name="Adresse2"/>
    <tableColumn id="5" name="CodePostal"/>
    <tableColumn id="6" name="Ville"/>
    <tableColumn id="7" name="Telephone"/>
    <tableColumn id="8" name="Actif"/>
    <tableColumn id="9" name="AValider"/>
    <tableColumn id="10" name="CleNormalisee"/>
    <tableColumn id="11" name="SourceIDs"/>
    <tableColumn id="12" name="Commentair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215"/>
  <sheetViews>
    <sheetView topLeftCell="A169" workbookViewId="0">
      <selection activeCell="A178" sqref="A178:XFD178"/>
    </sheetView>
  </sheetViews>
  <sheetFormatPr baseColWidth="10" defaultColWidth="8.75" defaultRowHeight="14.25"/>
  <cols>
    <col min="1" max="1" width="12" customWidth="1"/>
    <col min="2" max="2" width="28" customWidth="1"/>
    <col min="3" max="3" width="18" customWidth="1"/>
    <col min="4" max="4" width="12" customWidth="1"/>
    <col min="5" max="5" width="16" customWidth="1"/>
    <col min="6" max="6" width="22" customWidth="1"/>
    <col min="7" max="7" width="28" customWidth="1"/>
    <col min="8" max="8" width="30" customWidth="1"/>
    <col min="9" max="9" width="25" customWidth="1"/>
    <col min="10" max="10" width="12" customWidth="1"/>
    <col min="11" max="11" width="22" customWidth="1"/>
    <col min="12" max="12" width="18" customWidth="1"/>
    <col min="13" max="13" width="40" customWidth="1"/>
    <col min="14" max="14" width="22" customWidth="1"/>
    <col min="15" max="15" width="14" customWidth="1"/>
    <col min="16" max="16" width="12" customWidth="1"/>
    <col min="17" max="17" width="18" customWidth="1"/>
    <col min="18" max="19" width="10" customWidth="1"/>
    <col min="20" max="20" width="28" customWidth="1"/>
    <col min="21" max="21" width="58" customWidth="1"/>
    <col min="22" max="22" width="34" customWidth="1"/>
    <col min="23" max="23" width="15" customWidth="1"/>
  </cols>
  <sheetData>
    <row r="1" spans="1:23" ht="14.25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15" t="s">
        <v>20</v>
      </c>
      <c r="V1" s="15" t="s">
        <v>21</v>
      </c>
      <c r="W1" s="1" t="s">
        <v>1947</v>
      </c>
    </row>
    <row r="2" spans="1:23" ht="28.15" customHeight="1">
      <c r="A2" s="3" t="s">
        <v>22</v>
      </c>
      <c r="B2" s="3" t="s">
        <v>23</v>
      </c>
      <c r="C2" s="3" t="s">
        <v>24</v>
      </c>
      <c r="D2" s="3"/>
      <c r="E2" s="3" t="s">
        <v>25</v>
      </c>
      <c r="F2" s="3" t="s">
        <v>26</v>
      </c>
      <c r="G2" s="3"/>
      <c r="H2" s="3" t="s">
        <v>27</v>
      </c>
      <c r="I2" s="3"/>
      <c r="J2" s="3" t="s">
        <v>28</v>
      </c>
      <c r="K2" s="3" t="s">
        <v>29</v>
      </c>
      <c r="L2" s="3"/>
      <c r="M2" s="3" t="s">
        <v>30</v>
      </c>
      <c r="N2" s="3" t="s">
        <v>31</v>
      </c>
      <c r="O2" s="3" t="s">
        <v>32</v>
      </c>
      <c r="P2" s="3">
        <v>1</v>
      </c>
      <c r="Q2" s="3" t="s">
        <v>33</v>
      </c>
      <c r="R2" s="3" t="s">
        <v>34</v>
      </c>
      <c r="S2" s="3" t="s">
        <v>34</v>
      </c>
      <c r="T2" s="3"/>
      <c r="U2" s="16"/>
      <c r="V2" s="16"/>
      <c r="W2" s="1"/>
    </row>
    <row r="3" spans="1:23" ht="28.15" customHeight="1">
      <c r="A3" s="3" t="s">
        <v>35</v>
      </c>
      <c r="B3" s="3" t="s">
        <v>36</v>
      </c>
      <c r="C3" s="3" t="s">
        <v>24</v>
      </c>
      <c r="D3" s="3"/>
      <c r="E3" s="3" t="s">
        <v>25</v>
      </c>
      <c r="F3" s="3" t="s">
        <v>37</v>
      </c>
      <c r="G3" s="3"/>
      <c r="H3" s="3" t="s">
        <v>38</v>
      </c>
      <c r="I3" s="3"/>
      <c r="J3" s="3" t="s">
        <v>39</v>
      </c>
      <c r="K3" s="3" t="s">
        <v>40</v>
      </c>
      <c r="L3" s="3"/>
      <c r="M3" s="3" t="s">
        <v>41</v>
      </c>
      <c r="N3" s="3" t="s">
        <v>42</v>
      </c>
      <c r="O3" s="3" t="s">
        <v>43</v>
      </c>
      <c r="P3" s="3">
        <v>1</v>
      </c>
      <c r="Q3" s="3" t="s">
        <v>44</v>
      </c>
      <c r="R3" s="3" t="s">
        <v>34</v>
      </c>
      <c r="S3" s="3" t="s">
        <v>34</v>
      </c>
      <c r="T3" s="3"/>
      <c r="U3" s="17"/>
      <c r="V3" s="17"/>
      <c r="W3" s="1"/>
    </row>
    <row r="4" spans="1:23" ht="28.15" customHeight="1">
      <c r="A4" s="3" t="s">
        <v>45</v>
      </c>
      <c r="B4" s="3" t="s">
        <v>46</v>
      </c>
      <c r="C4" s="3" t="s">
        <v>24</v>
      </c>
      <c r="D4" s="3"/>
      <c r="E4" s="3" t="s">
        <v>47</v>
      </c>
      <c r="F4" s="3" t="s">
        <v>48</v>
      </c>
      <c r="G4" s="3"/>
      <c r="H4" s="3" t="s">
        <v>49</v>
      </c>
      <c r="I4" s="3"/>
      <c r="J4" s="3" t="s">
        <v>50</v>
      </c>
      <c r="K4" s="3" t="s">
        <v>51</v>
      </c>
      <c r="L4" s="3"/>
      <c r="M4" s="3" t="s">
        <v>52</v>
      </c>
      <c r="N4" s="3" t="s">
        <v>42</v>
      </c>
      <c r="O4" s="3" t="s">
        <v>43</v>
      </c>
      <c r="P4" s="3">
        <v>1</v>
      </c>
      <c r="Q4" s="3" t="s">
        <v>53</v>
      </c>
      <c r="R4" s="3" t="s">
        <v>34</v>
      </c>
      <c r="S4" s="3" t="s">
        <v>34</v>
      </c>
      <c r="T4" s="3"/>
      <c r="U4" s="16" t="s">
        <v>54</v>
      </c>
      <c r="V4" s="16" t="s">
        <v>55</v>
      </c>
      <c r="W4" s="1"/>
    </row>
    <row r="5" spans="1:23" ht="28.15" customHeight="1">
      <c r="A5" s="3" t="s">
        <v>56</v>
      </c>
      <c r="B5" s="3" t="s">
        <v>57</v>
      </c>
      <c r="C5" s="3" t="s">
        <v>24</v>
      </c>
      <c r="D5" s="3"/>
      <c r="E5" s="3" t="s">
        <v>58</v>
      </c>
      <c r="F5" s="3" t="s">
        <v>59</v>
      </c>
      <c r="G5" s="3"/>
      <c r="H5" s="3" t="s">
        <v>60</v>
      </c>
      <c r="I5" s="3"/>
      <c r="J5" s="3" t="s">
        <v>61</v>
      </c>
      <c r="K5" s="3" t="s">
        <v>62</v>
      </c>
      <c r="L5" s="3"/>
      <c r="M5" s="3" t="s">
        <v>63</v>
      </c>
      <c r="N5" s="3" t="s">
        <v>42</v>
      </c>
      <c r="O5" s="3" t="s">
        <v>43</v>
      </c>
      <c r="P5" s="3">
        <v>1</v>
      </c>
      <c r="Q5" s="3" t="s">
        <v>64</v>
      </c>
      <c r="R5" s="3" t="s">
        <v>34</v>
      </c>
      <c r="S5" s="3" t="s">
        <v>34</v>
      </c>
      <c r="T5" s="3"/>
      <c r="U5" s="17"/>
      <c r="V5" s="17"/>
      <c r="W5" s="1"/>
    </row>
    <row r="6" spans="1:23" ht="28.15" customHeight="1">
      <c r="A6" s="3" t="s">
        <v>65</v>
      </c>
      <c r="B6" s="3" t="s">
        <v>66</v>
      </c>
      <c r="C6" s="3" t="s">
        <v>24</v>
      </c>
      <c r="D6" s="3"/>
      <c r="E6" s="3" t="s">
        <v>67</v>
      </c>
      <c r="F6" s="3" t="s">
        <v>68</v>
      </c>
      <c r="G6" s="3"/>
      <c r="H6" s="3" t="s">
        <v>69</v>
      </c>
      <c r="I6" s="3"/>
      <c r="J6" s="3" t="s">
        <v>70</v>
      </c>
      <c r="K6" s="3" t="s">
        <v>71</v>
      </c>
      <c r="L6" s="3"/>
      <c r="M6" s="3" t="s">
        <v>72</v>
      </c>
      <c r="N6" s="3" t="s">
        <v>73</v>
      </c>
      <c r="O6" s="3" t="s">
        <v>43</v>
      </c>
      <c r="P6" s="3">
        <v>1</v>
      </c>
      <c r="Q6" s="3" t="s">
        <v>74</v>
      </c>
      <c r="R6" s="3" t="s">
        <v>34</v>
      </c>
      <c r="S6" s="3" t="s">
        <v>34</v>
      </c>
      <c r="T6" s="3"/>
      <c r="U6" s="16"/>
      <c r="V6" s="16"/>
      <c r="W6" s="1"/>
    </row>
    <row r="7" spans="1:23" ht="28.15" customHeight="1">
      <c r="A7" s="3" t="s">
        <v>75</v>
      </c>
      <c r="B7" s="3" t="s">
        <v>76</v>
      </c>
      <c r="C7" s="3" t="s">
        <v>24</v>
      </c>
      <c r="D7" s="3"/>
      <c r="E7" s="3" t="s">
        <v>77</v>
      </c>
      <c r="F7" s="3" t="s">
        <v>78</v>
      </c>
      <c r="G7" s="3"/>
      <c r="H7" s="3" t="s">
        <v>79</v>
      </c>
      <c r="I7" s="3"/>
      <c r="J7" s="3" t="s">
        <v>80</v>
      </c>
      <c r="K7" s="3" t="s">
        <v>81</v>
      </c>
      <c r="L7" s="3"/>
      <c r="M7" s="3" t="s">
        <v>82</v>
      </c>
      <c r="N7" s="3" t="s">
        <v>83</v>
      </c>
      <c r="O7" s="3" t="s">
        <v>32</v>
      </c>
      <c r="P7" s="3">
        <v>2</v>
      </c>
      <c r="Q7" s="3" t="s">
        <v>84</v>
      </c>
      <c r="R7" s="3" t="s">
        <v>34</v>
      </c>
      <c r="S7" s="3" t="s">
        <v>34</v>
      </c>
      <c r="T7" s="3"/>
      <c r="U7" s="17"/>
      <c r="V7" s="17"/>
      <c r="W7" s="1"/>
    </row>
    <row r="8" spans="1:23" ht="28.15" customHeight="1">
      <c r="A8" s="3" t="s">
        <v>85</v>
      </c>
      <c r="B8" s="3" t="s">
        <v>86</v>
      </c>
      <c r="C8" s="3" t="s">
        <v>24</v>
      </c>
      <c r="D8" s="3"/>
      <c r="E8" s="3" t="s">
        <v>87</v>
      </c>
      <c r="F8" s="3" t="s">
        <v>88</v>
      </c>
      <c r="G8" s="3"/>
      <c r="H8" s="3" t="s">
        <v>89</v>
      </c>
      <c r="I8" s="3"/>
      <c r="J8" s="3" t="s">
        <v>90</v>
      </c>
      <c r="K8" s="3" t="s">
        <v>91</v>
      </c>
      <c r="L8" s="3"/>
      <c r="M8" s="3" t="s">
        <v>92</v>
      </c>
      <c r="N8" s="3" t="s">
        <v>31</v>
      </c>
      <c r="O8" s="3" t="s">
        <v>32</v>
      </c>
      <c r="P8" s="3">
        <v>2</v>
      </c>
      <c r="Q8" s="3" t="s">
        <v>93</v>
      </c>
      <c r="R8" s="3" t="s">
        <v>34</v>
      </c>
      <c r="S8" s="3" t="s">
        <v>34</v>
      </c>
      <c r="T8" s="3"/>
      <c r="U8" s="16"/>
      <c r="V8" s="16"/>
      <c r="W8" s="1"/>
    </row>
    <row r="9" spans="1:23" ht="28.15" customHeight="1">
      <c r="A9" s="3" t="s">
        <v>94</v>
      </c>
      <c r="B9" s="3" t="s">
        <v>95</v>
      </c>
      <c r="C9" s="3" t="s">
        <v>24</v>
      </c>
      <c r="D9" s="3"/>
      <c r="E9" s="3" t="s">
        <v>96</v>
      </c>
      <c r="F9" s="3" t="s">
        <v>97</v>
      </c>
      <c r="G9" s="3"/>
      <c r="H9" s="3" t="s">
        <v>98</v>
      </c>
      <c r="I9" s="3"/>
      <c r="J9" s="3">
        <v>95260</v>
      </c>
      <c r="K9" s="3" t="s">
        <v>99</v>
      </c>
      <c r="L9" s="3"/>
      <c r="M9" s="3" t="s">
        <v>100</v>
      </c>
      <c r="N9" s="3" t="s">
        <v>31</v>
      </c>
      <c r="O9" s="3" t="s">
        <v>43</v>
      </c>
      <c r="P9" s="3">
        <v>1</v>
      </c>
      <c r="Q9" s="3" t="s">
        <v>101</v>
      </c>
      <c r="R9" s="3" t="s">
        <v>34</v>
      </c>
      <c r="S9" s="3" t="s">
        <v>34</v>
      </c>
      <c r="T9" s="3" t="s">
        <v>102</v>
      </c>
      <c r="U9" s="17" t="s">
        <v>103</v>
      </c>
      <c r="V9" s="17" t="s">
        <v>55</v>
      </c>
      <c r="W9" s="1"/>
    </row>
    <row r="10" spans="1:23" ht="28.15" customHeight="1">
      <c r="A10" s="3" t="s">
        <v>104</v>
      </c>
      <c r="B10" s="3" t="s">
        <v>105</v>
      </c>
      <c r="C10" s="3" t="s">
        <v>24</v>
      </c>
      <c r="D10" s="3"/>
      <c r="E10" s="3" t="s">
        <v>106</v>
      </c>
      <c r="F10" s="3" t="s">
        <v>107</v>
      </c>
      <c r="G10" s="3"/>
      <c r="H10" s="3" t="s">
        <v>108</v>
      </c>
      <c r="I10" s="3"/>
      <c r="J10" s="3" t="s">
        <v>109</v>
      </c>
      <c r="K10" s="3" t="s">
        <v>110</v>
      </c>
      <c r="L10" s="3"/>
      <c r="M10" s="3" t="s">
        <v>111</v>
      </c>
      <c r="N10" s="3" t="s">
        <v>42</v>
      </c>
      <c r="O10" s="3" t="s">
        <v>43</v>
      </c>
      <c r="P10" s="3">
        <v>1</v>
      </c>
      <c r="Q10" s="3" t="s">
        <v>112</v>
      </c>
      <c r="R10" s="3" t="s">
        <v>34</v>
      </c>
      <c r="S10" s="3" t="s">
        <v>34</v>
      </c>
      <c r="T10" s="3"/>
      <c r="U10" s="16"/>
      <c r="V10" s="16"/>
      <c r="W10" s="1"/>
    </row>
    <row r="11" spans="1:23" ht="28.15" customHeight="1">
      <c r="A11" s="3" t="s">
        <v>113</v>
      </c>
      <c r="B11" s="3" t="s">
        <v>114</v>
      </c>
      <c r="C11" s="3" t="s">
        <v>24</v>
      </c>
      <c r="D11" s="3"/>
      <c r="E11" s="3" t="s">
        <v>115</v>
      </c>
      <c r="F11" s="3" t="s">
        <v>116</v>
      </c>
      <c r="G11" s="3"/>
      <c r="H11" s="3" t="s">
        <v>117</v>
      </c>
      <c r="I11" s="3"/>
      <c r="J11" s="3">
        <v>95470</v>
      </c>
      <c r="K11" s="3" t="s">
        <v>118</v>
      </c>
      <c r="L11" s="3"/>
      <c r="M11" s="3" t="s">
        <v>119</v>
      </c>
      <c r="N11" s="3" t="s">
        <v>73</v>
      </c>
      <c r="O11" s="3" t="s">
        <v>43</v>
      </c>
      <c r="P11" s="3">
        <v>1</v>
      </c>
      <c r="Q11" s="3" t="s">
        <v>120</v>
      </c>
      <c r="R11" s="3" t="s">
        <v>34</v>
      </c>
      <c r="S11" s="3" t="s">
        <v>34</v>
      </c>
      <c r="T11" s="3"/>
      <c r="U11" s="17" t="s">
        <v>121</v>
      </c>
      <c r="V11" s="17" t="s">
        <v>55</v>
      </c>
      <c r="W11" s="1"/>
    </row>
    <row r="12" spans="1:23" ht="28.15" customHeight="1">
      <c r="A12" s="3" t="s">
        <v>122</v>
      </c>
      <c r="B12" s="3" t="s">
        <v>123</v>
      </c>
      <c r="C12" s="3" t="s">
        <v>24</v>
      </c>
      <c r="D12" s="3"/>
      <c r="E12" s="3" t="s">
        <v>124</v>
      </c>
      <c r="F12" s="3" t="s">
        <v>125</v>
      </c>
      <c r="G12" s="3"/>
      <c r="H12" s="3" t="s">
        <v>126</v>
      </c>
      <c r="I12" s="3"/>
      <c r="J12" s="3" t="s">
        <v>127</v>
      </c>
      <c r="K12" s="3" t="s">
        <v>128</v>
      </c>
      <c r="L12" s="3"/>
      <c r="M12" s="3" t="s">
        <v>129</v>
      </c>
      <c r="N12" s="3" t="s">
        <v>130</v>
      </c>
      <c r="O12" s="3" t="s">
        <v>32</v>
      </c>
      <c r="P12" s="3">
        <v>5</v>
      </c>
      <c r="Q12" s="3" t="s">
        <v>131</v>
      </c>
      <c r="R12" s="3" t="s">
        <v>34</v>
      </c>
      <c r="S12" s="3" t="s">
        <v>34</v>
      </c>
      <c r="T12" s="3"/>
      <c r="U12" s="16"/>
      <c r="V12" s="16"/>
      <c r="W12" s="1"/>
    </row>
    <row r="13" spans="1:23" ht="28.15" customHeight="1">
      <c r="A13" s="3" t="s">
        <v>132</v>
      </c>
      <c r="B13" s="3" t="s">
        <v>133</v>
      </c>
      <c r="C13" s="3" t="s">
        <v>24</v>
      </c>
      <c r="D13" s="3"/>
      <c r="E13" s="3" t="s">
        <v>134</v>
      </c>
      <c r="F13" s="3" t="s">
        <v>135</v>
      </c>
      <c r="G13" s="3"/>
      <c r="H13" s="3" t="s">
        <v>136</v>
      </c>
      <c r="I13" s="3"/>
      <c r="J13" s="3">
        <v>60580</v>
      </c>
      <c r="K13" s="3" t="s">
        <v>137</v>
      </c>
      <c r="L13" s="3"/>
      <c r="M13" s="3" t="s">
        <v>138</v>
      </c>
      <c r="N13" s="3" t="s">
        <v>42</v>
      </c>
      <c r="O13" s="3" t="s">
        <v>43</v>
      </c>
      <c r="P13" s="3">
        <v>1</v>
      </c>
      <c r="Q13" s="3" t="s">
        <v>139</v>
      </c>
      <c r="R13" s="3" t="s">
        <v>34</v>
      </c>
      <c r="S13" s="3" t="s">
        <v>34</v>
      </c>
      <c r="T13" s="3" t="s">
        <v>140</v>
      </c>
      <c r="U13" s="17" t="s">
        <v>141</v>
      </c>
      <c r="V13" s="17" t="s">
        <v>55</v>
      </c>
      <c r="W13" s="1"/>
    </row>
    <row r="14" spans="1:23" ht="28.15" customHeight="1">
      <c r="A14" s="3" t="s">
        <v>142</v>
      </c>
      <c r="B14" s="3" t="s">
        <v>143</v>
      </c>
      <c r="C14" s="3" t="s">
        <v>24</v>
      </c>
      <c r="D14" s="3"/>
      <c r="E14" s="3" t="s">
        <v>144</v>
      </c>
      <c r="F14" s="3" t="s">
        <v>145</v>
      </c>
      <c r="G14" s="3"/>
      <c r="H14" s="3" t="s">
        <v>146</v>
      </c>
      <c r="I14" s="3"/>
      <c r="J14" s="3" t="s">
        <v>147</v>
      </c>
      <c r="K14" s="3" t="s">
        <v>148</v>
      </c>
      <c r="L14" s="3"/>
      <c r="M14" s="3" t="s">
        <v>149</v>
      </c>
      <c r="N14" s="3" t="s">
        <v>150</v>
      </c>
      <c r="O14" s="3" t="s">
        <v>32</v>
      </c>
      <c r="P14" s="3">
        <v>1</v>
      </c>
      <c r="Q14" s="3" t="s">
        <v>151</v>
      </c>
      <c r="R14" s="3" t="s">
        <v>34</v>
      </c>
      <c r="S14" s="3" t="s">
        <v>34</v>
      </c>
      <c r="T14" s="3"/>
      <c r="U14" s="16"/>
      <c r="V14" s="16" t="s">
        <v>152</v>
      </c>
      <c r="W14" s="1"/>
    </row>
    <row r="15" spans="1:23" ht="28.15" customHeight="1">
      <c r="A15" s="3" t="s">
        <v>153</v>
      </c>
      <c r="B15" s="3" t="s">
        <v>154</v>
      </c>
      <c r="C15" s="3" t="s">
        <v>24</v>
      </c>
      <c r="D15" s="3"/>
      <c r="E15" s="3" t="s">
        <v>155</v>
      </c>
      <c r="F15" s="3" t="s">
        <v>156</v>
      </c>
      <c r="G15" s="3"/>
      <c r="H15" s="3" t="s">
        <v>157</v>
      </c>
      <c r="I15" s="3"/>
      <c r="J15" s="3" t="s">
        <v>158</v>
      </c>
      <c r="K15" s="3" t="s">
        <v>159</v>
      </c>
      <c r="L15" s="3"/>
      <c r="M15" s="3" t="s">
        <v>160</v>
      </c>
      <c r="N15" s="3" t="s">
        <v>42</v>
      </c>
      <c r="O15" s="3" t="s">
        <v>43</v>
      </c>
      <c r="P15" s="3">
        <v>1</v>
      </c>
      <c r="Q15" s="3" t="s">
        <v>161</v>
      </c>
      <c r="R15" s="3" t="s">
        <v>34</v>
      </c>
      <c r="S15" s="3" t="s">
        <v>34</v>
      </c>
      <c r="T15" s="3"/>
      <c r="U15" s="17"/>
      <c r="V15" s="17"/>
      <c r="W15" s="1"/>
    </row>
    <row r="16" spans="1:23" ht="28.15" customHeight="1">
      <c r="A16" s="3" t="s">
        <v>162</v>
      </c>
      <c r="B16" s="3" t="s">
        <v>163</v>
      </c>
      <c r="C16" s="3" t="s">
        <v>24</v>
      </c>
      <c r="D16" s="3"/>
      <c r="E16" s="3" t="s">
        <v>164</v>
      </c>
      <c r="F16" s="3" t="s">
        <v>165</v>
      </c>
      <c r="G16" s="3"/>
      <c r="H16" s="3" t="s">
        <v>166</v>
      </c>
      <c r="I16" s="3"/>
      <c r="J16" s="3" t="s">
        <v>39</v>
      </c>
      <c r="K16" s="3" t="s">
        <v>40</v>
      </c>
      <c r="L16" s="3"/>
      <c r="M16" s="3" t="s">
        <v>167</v>
      </c>
      <c r="N16" s="3" t="s">
        <v>130</v>
      </c>
      <c r="O16" s="3" t="s">
        <v>43</v>
      </c>
      <c r="P16" s="3">
        <v>2</v>
      </c>
      <c r="Q16" s="3" t="s">
        <v>168</v>
      </c>
      <c r="R16" s="3" t="s">
        <v>34</v>
      </c>
      <c r="S16" s="3" t="s">
        <v>34</v>
      </c>
      <c r="T16" s="3"/>
      <c r="U16" s="16"/>
      <c r="V16" s="16" t="s">
        <v>152</v>
      </c>
      <c r="W16" s="1"/>
    </row>
    <row r="17" spans="1:23" ht="28.15" customHeight="1">
      <c r="A17" s="3" t="s">
        <v>169</v>
      </c>
      <c r="B17" s="3" t="s">
        <v>170</v>
      </c>
      <c r="C17" s="3" t="s">
        <v>24</v>
      </c>
      <c r="D17" s="3"/>
      <c r="E17" s="3" t="s">
        <v>171</v>
      </c>
      <c r="F17" s="3" t="s">
        <v>172</v>
      </c>
      <c r="G17" s="3"/>
      <c r="H17" s="3" t="s">
        <v>173</v>
      </c>
      <c r="I17" s="3"/>
      <c r="J17" s="3" t="s">
        <v>174</v>
      </c>
      <c r="K17" s="3" t="s">
        <v>175</v>
      </c>
      <c r="L17" s="3"/>
      <c r="M17" s="3" t="s">
        <v>176</v>
      </c>
      <c r="N17" s="3" t="s">
        <v>130</v>
      </c>
      <c r="O17" s="3" t="s">
        <v>43</v>
      </c>
      <c r="P17" s="3">
        <v>2</v>
      </c>
      <c r="Q17" s="3" t="s">
        <v>177</v>
      </c>
      <c r="R17" s="3" t="s">
        <v>34</v>
      </c>
      <c r="S17" s="3" t="s">
        <v>34</v>
      </c>
      <c r="T17" s="3"/>
      <c r="U17" s="17"/>
      <c r="V17" s="17" t="s">
        <v>152</v>
      </c>
      <c r="W17" s="1"/>
    </row>
    <row r="18" spans="1:23" ht="28.15" customHeight="1">
      <c r="A18" s="3" t="s">
        <v>178</v>
      </c>
      <c r="B18" s="3" t="s">
        <v>179</v>
      </c>
      <c r="C18" s="3" t="s">
        <v>24</v>
      </c>
      <c r="D18" s="3"/>
      <c r="E18" s="3" t="s">
        <v>180</v>
      </c>
      <c r="F18" s="3" t="s">
        <v>181</v>
      </c>
      <c r="G18" s="3" t="s">
        <v>182</v>
      </c>
      <c r="H18" s="3" t="s">
        <v>183</v>
      </c>
      <c r="I18" s="3"/>
      <c r="J18" s="3">
        <v>95260</v>
      </c>
      <c r="K18" s="3" t="s">
        <v>99</v>
      </c>
      <c r="L18" s="3"/>
      <c r="M18" s="3" t="s">
        <v>184</v>
      </c>
      <c r="N18" s="3" t="s">
        <v>185</v>
      </c>
      <c r="O18" s="3" t="s">
        <v>43</v>
      </c>
      <c r="P18" s="3">
        <v>1</v>
      </c>
      <c r="Q18" s="3" t="s">
        <v>186</v>
      </c>
      <c r="R18" s="3" t="s">
        <v>34</v>
      </c>
      <c r="S18" s="3" t="s">
        <v>34</v>
      </c>
      <c r="T18" s="3" t="s">
        <v>102</v>
      </c>
      <c r="U18" s="16" t="s">
        <v>187</v>
      </c>
      <c r="V18" s="16" t="s">
        <v>55</v>
      </c>
      <c r="W18" s="1" t="s">
        <v>1948</v>
      </c>
    </row>
    <row r="19" spans="1:23" ht="28.15" customHeight="1">
      <c r="A19" s="3" t="s">
        <v>188</v>
      </c>
      <c r="B19" s="3" t="s">
        <v>189</v>
      </c>
      <c r="C19" s="3" t="s">
        <v>24</v>
      </c>
      <c r="D19" s="3"/>
      <c r="E19" s="3" t="s">
        <v>190</v>
      </c>
      <c r="F19" s="3" t="s">
        <v>191</v>
      </c>
      <c r="G19" s="3"/>
      <c r="H19" s="3" t="s">
        <v>192</v>
      </c>
      <c r="I19" s="3"/>
      <c r="J19" s="3" t="s">
        <v>193</v>
      </c>
      <c r="K19" s="3" t="s">
        <v>194</v>
      </c>
      <c r="L19" s="3"/>
      <c r="M19" s="3" t="s">
        <v>195</v>
      </c>
      <c r="N19" s="3" t="s">
        <v>73</v>
      </c>
      <c r="O19" s="3" t="s">
        <v>43</v>
      </c>
      <c r="P19" s="3">
        <v>1</v>
      </c>
      <c r="Q19" s="3" t="s">
        <v>196</v>
      </c>
      <c r="R19" s="3" t="s">
        <v>34</v>
      </c>
      <c r="S19" s="3" t="s">
        <v>34</v>
      </c>
      <c r="T19" s="3"/>
      <c r="U19" s="17" t="s">
        <v>197</v>
      </c>
      <c r="V19" s="17" t="s">
        <v>55</v>
      </c>
      <c r="W19" s="1"/>
    </row>
    <row r="20" spans="1:23" ht="28.15" customHeight="1">
      <c r="A20" s="3" t="s">
        <v>198</v>
      </c>
      <c r="B20" s="3" t="s">
        <v>199</v>
      </c>
      <c r="C20" s="3" t="s">
        <v>24</v>
      </c>
      <c r="D20" s="3"/>
      <c r="E20" s="3" t="s">
        <v>200</v>
      </c>
      <c r="F20" s="3" t="s">
        <v>201</v>
      </c>
      <c r="G20" s="3"/>
      <c r="H20" s="3" t="s">
        <v>202</v>
      </c>
      <c r="I20" s="3"/>
      <c r="J20" s="3" t="s">
        <v>203</v>
      </c>
      <c r="K20" s="3" t="s">
        <v>204</v>
      </c>
      <c r="L20" s="3"/>
      <c r="M20" s="3" t="s">
        <v>205</v>
      </c>
      <c r="N20" s="3" t="s">
        <v>73</v>
      </c>
      <c r="O20" s="3" t="s">
        <v>43</v>
      </c>
      <c r="P20" s="3">
        <v>1</v>
      </c>
      <c r="Q20" s="3" t="s">
        <v>206</v>
      </c>
      <c r="R20" s="3" t="s">
        <v>34</v>
      </c>
      <c r="S20" s="3" t="s">
        <v>34</v>
      </c>
      <c r="T20" s="3"/>
      <c r="U20" s="16"/>
      <c r="V20" s="16"/>
      <c r="W20" s="1"/>
    </row>
    <row r="21" spans="1:23" ht="28.15" customHeight="1">
      <c r="A21" s="3" t="s">
        <v>207</v>
      </c>
      <c r="B21" s="3" t="s">
        <v>208</v>
      </c>
      <c r="C21" s="3" t="s">
        <v>24</v>
      </c>
      <c r="D21" s="3"/>
      <c r="E21" s="3" t="s">
        <v>209</v>
      </c>
      <c r="F21" s="3" t="s">
        <v>210</v>
      </c>
      <c r="G21" s="3"/>
      <c r="H21" s="3" t="s">
        <v>211</v>
      </c>
      <c r="I21" s="3"/>
      <c r="J21" s="3">
        <v>95260</v>
      </c>
      <c r="K21" s="3" t="s">
        <v>99</v>
      </c>
      <c r="L21" s="3"/>
      <c r="M21" s="3" t="s">
        <v>212</v>
      </c>
      <c r="N21" s="3" t="s">
        <v>213</v>
      </c>
      <c r="O21" s="3" t="s">
        <v>32</v>
      </c>
      <c r="P21" s="3">
        <v>1</v>
      </c>
      <c r="Q21" s="3" t="s">
        <v>214</v>
      </c>
      <c r="R21" s="3" t="s">
        <v>34</v>
      </c>
      <c r="S21" s="3" t="s">
        <v>34</v>
      </c>
      <c r="T21" s="3" t="s">
        <v>215</v>
      </c>
      <c r="U21" s="17" t="s">
        <v>216</v>
      </c>
      <c r="V21" s="17" t="s">
        <v>55</v>
      </c>
      <c r="W21" s="1"/>
    </row>
    <row r="22" spans="1:23" ht="28.15" customHeight="1">
      <c r="A22" s="3" t="s">
        <v>217</v>
      </c>
      <c r="B22" s="3" t="s">
        <v>218</v>
      </c>
      <c r="C22" s="3" t="s">
        <v>24</v>
      </c>
      <c r="D22" s="3"/>
      <c r="E22" s="3" t="s">
        <v>209</v>
      </c>
      <c r="F22" s="3" t="s">
        <v>219</v>
      </c>
      <c r="G22" s="3"/>
      <c r="H22" s="3" t="s">
        <v>220</v>
      </c>
      <c r="I22" s="3" t="s">
        <v>221</v>
      </c>
      <c r="J22" s="3" t="s">
        <v>222</v>
      </c>
      <c r="K22" s="3" t="s">
        <v>223</v>
      </c>
      <c r="L22" s="3"/>
      <c r="M22" s="3" t="s">
        <v>224</v>
      </c>
      <c r="N22" s="3" t="s">
        <v>130</v>
      </c>
      <c r="O22" s="3" t="s">
        <v>43</v>
      </c>
      <c r="P22" s="3">
        <v>1</v>
      </c>
      <c r="Q22" s="3" t="s">
        <v>225</v>
      </c>
      <c r="R22" s="3" t="s">
        <v>34</v>
      </c>
      <c r="S22" s="3" t="s">
        <v>34</v>
      </c>
      <c r="T22" s="3"/>
      <c r="U22" s="16"/>
      <c r="V22" s="16"/>
      <c r="W22" s="1"/>
    </row>
    <row r="23" spans="1:23" ht="28.15" customHeight="1">
      <c r="A23" s="3" t="s">
        <v>226</v>
      </c>
      <c r="B23" s="3" t="s">
        <v>227</v>
      </c>
      <c r="C23" s="3" t="s">
        <v>24</v>
      </c>
      <c r="D23" s="3"/>
      <c r="E23" s="3" t="s">
        <v>228</v>
      </c>
      <c r="F23" s="3" t="s">
        <v>229</v>
      </c>
      <c r="G23" s="3"/>
      <c r="H23" s="3" t="s">
        <v>230</v>
      </c>
      <c r="I23" s="3"/>
      <c r="J23" s="3" t="s">
        <v>231</v>
      </c>
      <c r="K23" s="3" t="s">
        <v>232</v>
      </c>
      <c r="L23" s="3"/>
      <c r="M23" s="3" t="s">
        <v>233</v>
      </c>
      <c r="N23" s="3" t="s">
        <v>73</v>
      </c>
      <c r="O23" s="3" t="s">
        <v>43</v>
      </c>
      <c r="P23" s="3">
        <v>1</v>
      </c>
      <c r="Q23" s="3" t="s">
        <v>234</v>
      </c>
      <c r="R23" s="3" t="s">
        <v>34</v>
      </c>
      <c r="S23" s="3" t="s">
        <v>34</v>
      </c>
      <c r="T23" s="3"/>
      <c r="U23" s="17" t="s">
        <v>235</v>
      </c>
      <c r="V23" s="17" t="s">
        <v>55</v>
      </c>
      <c r="W23" s="1"/>
    </row>
    <row r="24" spans="1:23" ht="28.15" customHeight="1">
      <c r="A24" s="3" t="s">
        <v>236</v>
      </c>
      <c r="B24" s="3" t="s">
        <v>237</v>
      </c>
      <c r="C24" s="3" t="s">
        <v>24</v>
      </c>
      <c r="D24" s="3"/>
      <c r="E24" s="3" t="s">
        <v>190</v>
      </c>
      <c r="F24" s="3" t="s">
        <v>238</v>
      </c>
      <c r="G24" s="3"/>
      <c r="H24" s="3" t="s">
        <v>239</v>
      </c>
      <c r="I24" s="3"/>
      <c r="J24" s="3" t="s">
        <v>240</v>
      </c>
      <c r="K24" s="3" t="s">
        <v>241</v>
      </c>
      <c r="L24" s="3"/>
      <c r="M24" s="3" t="s">
        <v>242</v>
      </c>
      <c r="N24" s="3" t="s">
        <v>73</v>
      </c>
      <c r="O24" s="3" t="s">
        <v>43</v>
      </c>
      <c r="P24" s="3">
        <v>1</v>
      </c>
      <c r="Q24" s="3" t="s">
        <v>243</v>
      </c>
      <c r="R24" s="3" t="s">
        <v>34</v>
      </c>
      <c r="S24" s="3" t="s">
        <v>34</v>
      </c>
      <c r="T24" s="3"/>
      <c r="U24" s="16"/>
      <c r="V24" s="16"/>
      <c r="W24" s="1"/>
    </row>
    <row r="25" spans="1:23" ht="28.15" customHeight="1">
      <c r="A25" s="3" t="s">
        <v>244</v>
      </c>
      <c r="B25" s="3" t="s">
        <v>245</v>
      </c>
      <c r="C25" s="3" t="s">
        <v>24</v>
      </c>
      <c r="D25" s="3"/>
      <c r="E25" s="3" t="s">
        <v>190</v>
      </c>
      <c r="F25" s="3" t="s">
        <v>246</v>
      </c>
      <c r="G25" s="3"/>
      <c r="H25" s="3" t="s">
        <v>247</v>
      </c>
      <c r="I25" s="3"/>
      <c r="J25" s="3" t="s">
        <v>248</v>
      </c>
      <c r="K25" s="3" t="s">
        <v>249</v>
      </c>
      <c r="L25" s="3"/>
      <c r="M25" s="3" t="s">
        <v>250</v>
      </c>
      <c r="N25" s="3" t="s">
        <v>73</v>
      </c>
      <c r="O25" s="3" t="s">
        <v>43</v>
      </c>
      <c r="P25" s="3">
        <v>2</v>
      </c>
      <c r="Q25" s="3" t="s">
        <v>251</v>
      </c>
      <c r="R25" s="3" t="s">
        <v>34</v>
      </c>
      <c r="S25" s="3" t="s">
        <v>34</v>
      </c>
      <c r="T25" s="3"/>
      <c r="U25" s="17"/>
      <c r="V25" s="17"/>
      <c r="W25" s="1"/>
    </row>
    <row r="26" spans="1:23" ht="28.15" customHeight="1">
      <c r="A26" s="3" t="s">
        <v>252</v>
      </c>
      <c r="B26" s="3" t="s">
        <v>253</v>
      </c>
      <c r="C26" s="3" t="s">
        <v>24</v>
      </c>
      <c r="D26" s="3"/>
      <c r="E26" s="3" t="s">
        <v>254</v>
      </c>
      <c r="F26" s="3" t="s">
        <v>255</v>
      </c>
      <c r="G26" s="3"/>
      <c r="H26" s="3" t="s">
        <v>256</v>
      </c>
      <c r="I26" s="3"/>
      <c r="J26" s="3" t="s">
        <v>203</v>
      </c>
      <c r="K26" s="3" t="s">
        <v>204</v>
      </c>
      <c r="L26" s="3"/>
      <c r="M26" s="3" t="s">
        <v>257</v>
      </c>
      <c r="N26" s="3" t="s">
        <v>73</v>
      </c>
      <c r="O26" s="3" t="s">
        <v>43</v>
      </c>
      <c r="P26" s="3">
        <v>1</v>
      </c>
      <c r="Q26" s="3" t="s">
        <v>258</v>
      </c>
      <c r="R26" s="3" t="s">
        <v>34</v>
      </c>
      <c r="S26" s="3" t="s">
        <v>34</v>
      </c>
      <c r="T26" s="3"/>
      <c r="U26" s="16"/>
      <c r="V26" s="16"/>
      <c r="W26" s="1"/>
    </row>
    <row r="27" spans="1:23" ht="28.15" customHeight="1">
      <c r="A27" s="3" t="s">
        <v>259</v>
      </c>
      <c r="B27" s="3" t="s">
        <v>260</v>
      </c>
      <c r="C27" s="3" t="s">
        <v>24</v>
      </c>
      <c r="D27" s="3"/>
      <c r="E27" s="3" t="s">
        <v>261</v>
      </c>
      <c r="F27" s="3" t="s">
        <v>262</v>
      </c>
      <c r="G27" s="3"/>
      <c r="H27" s="3" t="s">
        <v>263</v>
      </c>
      <c r="I27" s="3"/>
      <c r="J27" s="3" t="s">
        <v>264</v>
      </c>
      <c r="K27" s="3" t="s">
        <v>265</v>
      </c>
      <c r="L27" s="3"/>
      <c r="M27" s="3" t="s">
        <v>266</v>
      </c>
      <c r="N27" s="3" t="s">
        <v>73</v>
      </c>
      <c r="O27" s="3" t="s">
        <v>43</v>
      </c>
      <c r="P27" s="3">
        <v>1</v>
      </c>
      <c r="Q27" s="3" t="s">
        <v>267</v>
      </c>
      <c r="R27" s="3" t="s">
        <v>34</v>
      </c>
      <c r="S27" s="3" t="s">
        <v>34</v>
      </c>
      <c r="T27" s="3"/>
      <c r="U27" s="17"/>
      <c r="V27" s="17"/>
      <c r="W27" s="1"/>
    </row>
    <row r="28" spans="1:23" ht="28.15" customHeight="1">
      <c r="A28" s="3" t="s">
        <v>268</v>
      </c>
      <c r="B28" s="3" t="s">
        <v>269</v>
      </c>
      <c r="C28" s="3" t="s">
        <v>24</v>
      </c>
      <c r="D28" s="3"/>
      <c r="E28" s="3" t="s">
        <v>261</v>
      </c>
      <c r="F28" s="3" t="s">
        <v>270</v>
      </c>
      <c r="G28" s="3"/>
      <c r="H28" s="3" t="s">
        <v>271</v>
      </c>
      <c r="I28" s="3"/>
      <c r="J28" s="3" t="s">
        <v>174</v>
      </c>
      <c r="K28" s="3" t="s">
        <v>272</v>
      </c>
      <c r="L28" s="3"/>
      <c r="M28" s="3" t="s">
        <v>273</v>
      </c>
      <c r="N28" s="3" t="s">
        <v>73</v>
      </c>
      <c r="O28" s="3" t="s">
        <v>43</v>
      </c>
      <c r="P28" s="3">
        <v>2</v>
      </c>
      <c r="Q28" s="3" t="s">
        <v>274</v>
      </c>
      <c r="R28" s="3" t="s">
        <v>34</v>
      </c>
      <c r="S28" s="3" t="s">
        <v>34</v>
      </c>
      <c r="T28" s="3"/>
      <c r="U28" s="16"/>
      <c r="V28" s="16"/>
      <c r="W28" s="1"/>
    </row>
    <row r="29" spans="1:23" ht="28.15" customHeight="1">
      <c r="A29" s="3" t="s">
        <v>275</v>
      </c>
      <c r="B29" s="3" t="s">
        <v>276</v>
      </c>
      <c r="C29" s="3" t="s">
        <v>24</v>
      </c>
      <c r="D29" s="3"/>
      <c r="E29" s="3" t="s">
        <v>277</v>
      </c>
      <c r="F29" s="3" t="s">
        <v>278</v>
      </c>
      <c r="G29" s="3"/>
      <c r="H29" s="3" t="s">
        <v>279</v>
      </c>
      <c r="I29" s="3"/>
      <c r="J29" s="3" t="s">
        <v>280</v>
      </c>
      <c r="K29" s="3" t="s">
        <v>281</v>
      </c>
      <c r="L29" s="3"/>
      <c r="M29" s="3" t="s">
        <v>282</v>
      </c>
      <c r="N29" s="3" t="s">
        <v>42</v>
      </c>
      <c r="O29" s="3" t="s">
        <v>43</v>
      </c>
      <c r="P29" s="3">
        <v>2</v>
      </c>
      <c r="Q29" s="3" t="s">
        <v>283</v>
      </c>
      <c r="R29" s="3" t="s">
        <v>34</v>
      </c>
      <c r="S29" s="3" t="s">
        <v>34</v>
      </c>
      <c r="T29" s="3"/>
      <c r="U29" s="17"/>
      <c r="V29" s="17" t="s">
        <v>152</v>
      </c>
      <c r="W29" s="1"/>
    </row>
    <row r="30" spans="1:23" ht="28.15" customHeight="1">
      <c r="A30" s="3" t="s">
        <v>284</v>
      </c>
      <c r="B30" s="3" t="s">
        <v>285</v>
      </c>
      <c r="C30" s="3" t="s">
        <v>24</v>
      </c>
      <c r="D30" s="3"/>
      <c r="E30" s="3" t="s">
        <v>286</v>
      </c>
      <c r="F30" s="3" t="s">
        <v>287</v>
      </c>
      <c r="G30" s="3"/>
      <c r="H30" s="3" t="s">
        <v>288</v>
      </c>
      <c r="I30" s="3"/>
      <c r="J30" s="3" t="s">
        <v>289</v>
      </c>
      <c r="K30" s="3" t="s">
        <v>290</v>
      </c>
      <c r="L30" s="3"/>
      <c r="M30" s="3" t="s">
        <v>291</v>
      </c>
      <c r="N30" s="3" t="s">
        <v>130</v>
      </c>
      <c r="O30" s="3" t="s">
        <v>43</v>
      </c>
      <c r="P30" s="3">
        <v>1</v>
      </c>
      <c r="Q30" s="3" t="s">
        <v>292</v>
      </c>
      <c r="R30" s="3" t="s">
        <v>34</v>
      </c>
      <c r="S30" s="3" t="s">
        <v>34</v>
      </c>
      <c r="T30" s="3"/>
      <c r="U30" s="16"/>
      <c r="V30" s="16"/>
      <c r="W30" s="1"/>
    </row>
    <row r="31" spans="1:23" ht="28.15" customHeight="1">
      <c r="A31" s="3" t="s">
        <v>293</v>
      </c>
      <c r="B31" s="3" t="s">
        <v>294</v>
      </c>
      <c r="C31" s="3" t="s">
        <v>24</v>
      </c>
      <c r="D31" s="3"/>
      <c r="E31" s="3" t="s">
        <v>286</v>
      </c>
      <c r="F31" s="3" t="s">
        <v>295</v>
      </c>
      <c r="G31" s="3"/>
      <c r="H31" s="3" t="s">
        <v>296</v>
      </c>
      <c r="I31" s="3"/>
      <c r="J31" s="3" t="s">
        <v>174</v>
      </c>
      <c r="K31" s="3" t="s">
        <v>272</v>
      </c>
      <c r="L31" s="3"/>
      <c r="M31" s="3" t="s">
        <v>297</v>
      </c>
      <c r="N31" s="3" t="s">
        <v>298</v>
      </c>
      <c r="O31" s="3" t="s">
        <v>43</v>
      </c>
      <c r="P31" s="3">
        <v>2</v>
      </c>
      <c r="Q31" s="3" t="s">
        <v>299</v>
      </c>
      <c r="R31" s="3" t="s">
        <v>34</v>
      </c>
      <c r="S31" s="3" t="s">
        <v>34</v>
      </c>
      <c r="T31" s="3"/>
      <c r="U31" s="17"/>
      <c r="V31" s="17"/>
      <c r="W31" s="1"/>
    </row>
    <row r="32" spans="1:23" ht="28.15" customHeight="1">
      <c r="A32" s="3" t="s">
        <v>300</v>
      </c>
      <c r="B32" s="3" t="s">
        <v>301</v>
      </c>
      <c r="C32" s="3" t="s">
        <v>24</v>
      </c>
      <c r="D32" s="3"/>
      <c r="E32" s="3" t="s">
        <v>302</v>
      </c>
      <c r="F32" s="3" t="s">
        <v>303</v>
      </c>
      <c r="G32" s="3"/>
      <c r="H32" s="3" t="s">
        <v>304</v>
      </c>
      <c r="I32" s="3"/>
      <c r="J32" s="3" t="s">
        <v>305</v>
      </c>
      <c r="K32" s="3" t="s">
        <v>306</v>
      </c>
      <c r="L32" s="3"/>
      <c r="M32" s="3" t="s">
        <v>307</v>
      </c>
      <c r="N32" s="3" t="s">
        <v>130</v>
      </c>
      <c r="O32" s="3" t="s">
        <v>43</v>
      </c>
      <c r="P32" s="3">
        <v>3</v>
      </c>
      <c r="Q32" s="3" t="s">
        <v>308</v>
      </c>
      <c r="R32" s="3" t="s">
        <v>34</v>
      </c>
      <c r="S32" s="3" t="s">
        <v>34</v>
      </c>
      <c r="T32" s="3"/>
      <c r="U32" s="16"/>
      <c r="V32" s="16"/>
      <c r="W32" s="1"/>
    </row>
    <row r="33" spans="1:23" ht="28.15" customHeight="1">
      <c r="A33" s="3" t="s">
        <v>309</v>
      </c>
      <c r="B33" s="3" t="s">
        <v>310</v>
      </c>
      <c r="C33" s="3" t="s">
        <v>24</v>
      </c>
      <c r="D33" s="3"/>
      <c r="E33" s="3" t="s">
        <v>311</v>
      </c>
      <c r="F33" s="3" t="s">
        <v>312</v>
      </c>
      <c r="G33" s="3"/>
      <c r="H33" s="3" t="s">
        <v>313</v>
      </c>
      <c r="I33" s="3"/>
      <c r="J33" s="3" t="s">
        <v>39</v>
      </c>
      <c r="K33" s="3" t="s">
        <v>40</v>
      </c>
      <c r="L33" s="3"/>
      <c r="M33" s="3" t="s">
        <v>314</v>
      </c>
      <c r="N33" s="3" t="s">
        <v>31</v>
      </c>
      <c r="O33" s="3" t="s">
        <v>32</v>
      </c>
      <c r="P33" s="3">
        <v>1</v>
      </c>
      <c r="Q33" s="3" t="s">
        <v>315</v>
      </c>
      <c r="R33" s="3" t="s">
        <v>34</v>
      </c>
      <c r="S33" s="3" t="s">
        <v>34</v>
      </c>
      <c r="T33" s="3"/>
      <c r="U33" s="17"/>
      <c r="V33" s="17"/>
      <c r="W33" s="1"/>
    </row>
    <row r="34" spans="1:23" ht="28.15" customHeight="1">
      <c r="A34" s="3" t="s">
        <v>316</v>
      </c>
      <c r="B34" s="3" t="s">
        <v>317</v>
      </c>
      <c r="C34" s="3" t="s">
        <v>24</v>
      </c>
      <c r="D34" s="3"/>
      <c r="E34" s="3" t="s">
        <v>318</v>
      </c>
      <c r="F34" s="3" t="s">
        <v>319</v>
      </c>
      <c r="G34" s="3"/>
      <c r="H34" s="3" t="s">
        <v>320</v>
      </c>
      <c r="I34" s="3"/>
      <c r="J34" s="3" t="s">
        <v>321</v>
      </c>
      <c r="K34" s="3" t="s">
        <v>322</v>
      </c>
      <c r="L34" s="3"/>
      <c r="M34" s="3" t="s">
        <v>323</v>
      </c>
      <c r="N34" s="3" t="s">
        <v>42</v>
      </c>
      <c r="O34" s="3" t="s">
        <v>43</v>
      </c>
      <c r="P34" s="3">
        <v>2</v>
      </c>
      <c r="Q34" s="3" t="s">
        <v>324</v>
      </c>
      <c r="R34" s="3" t="s">
        <v>34</v>
      </c>
      <c r="S34" s="3" t="s">
        <v>34</v>
      </c>
      <c r="T34" s="3"/>
      <c r="U34" s="16"/>
      <c r="V34" s="16"/>
      <c r="W34" s="1"/>
    </row>
    <row r="35" spans="1:23" ht="28.15" customHeight="1">
      <c r="A35" s="3" t="s">
        <v>325</v>
      </c>
      <c r="B35" s="3" t="s">
        <v>326</v>
      </c>
      <c r="C35" s="3" t="s">
        <v>24</v>
      </c>
      <c r="D35" s="3"/>
      <c r="E35" s="3" t="s">
        <v>327</v>
      </c>
      <c r="F35" s="3" t="s">
        <v>328</v>
      </c>
      <c r="G35" s="3"/>
      <c r="H35" s="3" t="s">
        <v>329</v>
      </c>
      <c r="I35" s="3"/>
      <c r="J35" s="3" t="s">
        <v>240</v>
      </c>
      <c r="K35" s="3" t="s">
        <v>330</v>
      </c>
      <c r="L35" s="3"/>
      <c r="M35" s="3" t="s">
        <v>331</v>
      </c>
      <c r="N35" s="3" t="s">
        <v>42</v>
      </c>
      <c r="O35" s="3" t="s">
        <v>43</v>
      </c>
      <c r="P35" s="3">
        <v>1</v>
      </c>
      <c r="Q35" s="3" t="s">
        <v>332</v>
      </c>
      <c r="R35" s="3" t="s">
        <v>34</v>
      </c>
      <c r="S35" s="3" t="s">
        <v>34</v>
      </c>
      <c r="T35" s="3"/>
      <c r="U35" s="17"/>
      <c r="V35" s="17" t="s">
        <v>152</v>
      </c>
      <c r="W35" s="1"/>
    </row>
    <row r="36" spans="1:23" ht="28.15" customHeight="1">
      <c r="A36" s="3" t="s">
        <v>333</v>
      </c>
      <c r="B36" s="3" t="s">
        <v>334</v>
      </c>
      <c r="C36" s="3" t="s">
        <v>24</v>
      </c>
      <c r="D36" s="3"/>
      <c r="E36" s="3" t="s">
        <v>67</v>
      </c>
      <c r="F36" s="3" t="s">
        <v>335</v>
      </c>
      <c r="G36" s="3"/>
      <c r="H36" s="3" t="s">
        <v>336</v>
      </c>
      <c r="I36" s="3"/>
      <c r="J36" s="3" t="s">
        <v>337</v>
      </c>
      <c r="K36" s="3" t="s">
        <v>338</v>
      </c>
      <c r="L36" s="3"/>
      <c r="M36" s="3" t="s">
        <v>339</v>
      </c>
      <c r="N36" s="3" t="s">
        <v>130</v>
      </c>
      <c r="O36" s="3" t="s">
        <v>43</v>
      </c>
      <c r="P36" s="3">
        <v>1</v>
      </c>
      <c r="Q36" s="3" t="s">
        <v>340</v>
      </c>
      <c r="R36" s="3" t="s">
        <v>34</v>
      </c>
      <c r="S36" s="3" t="s">
        <v>34</v>
      </c>
      <c r="T36" s="3"/>
      <c r="U36" s="16"/>
      <c r="V36" s="16" t="s">
        <v>152</v>
      </c>
      <c r="W36" s="1"/>
    </row>
    <row r="37" spans="1:23" ht="28.15" customHeight="1">
      <c r="A37" s="3" t="s">
        <v>341</v>
      </c>
      <c r="B37" s="3" t="s">
        <v>342</v>
      </c>
      <c r="C37" s="3" t="s">
        <v>24</v>
      </c>
      <c r="D37" s="3"/>
      <c r="E37" s="3" t="s">
        <v>343</v>
      </c>
      <c r="F37" s="3" t="s">
        <v>344</v>
      </c>
      <c r="G37" s="3"/>
      <c r="H37" s="3" t="s">
        <v>345</v>
      </c>
      <c r="I37" s="3"/>
      <c r="J37" s="3" t="s">
        <v>346</v>
      </c>
      <c r="K37" s="3" t="s">
        <v>347</v>
      </c>
      <c r="L37" s="3"/>
      <c r="M37" s="3" t="s">
        <v>348</v>
      </c>
      <c r="N37" s="3" t="s">
        <v>42</v>
      </c>
      <c r="O37" s="3" t="s">
        <v>43</v>
      </c>
      <c r="P37" s="3">
        <v>1</v>
      </c>
      <c r="Q37" s="3" t="s">
        <v>349</v>
      </c>
      <c r="R37" s="3" t="s">
        <v>34</v>
      </c>
      <c r="S37" s="3" t="s">
        <v>34</v>
      </c>
      <c r="T37" s="3"/>
      <c r="U37" s="17"/>
      <c r="V37" s="17"/>
      <c r="W37" s="1"/>
    </row>
    <row r="38" spans="1:23" ht="28.15" customHeight="1">
      <c r="A38" s="3" t="s">
        <v>350</v>
      </c>
      <c r="B38" s="3" t="s">
        <v>351</v>
      </c>
      <c r="C38" s="3" t="s">
        <v>24</v>
      </c>
      <c r="D38" s="3"/>
      <c r="E38" s="3" t="s">
        <v>352</v>
      </c>
      <c r="F38" s="3" t="s">
        <v>353</v>
      </c>
      <c r="G38" s="3"/>
      <c r="H38" s="3" t="s">
        <v>354</v>
      </c>
      <c r="I38" s="3"/>
      <c r="J38" s="3" t="s">
        <v>355</v>
      </c>
      <c r="K38" s="3" t="s">
        <v>356</v>
      </c>
      <c r="L38" s="3"/>
      <c r="M38" s="3" t="s">
        <v>357</v>
      </c>
      <c r="N38" s="3" t="s">
        <v>130</v>
      </c>
      <c r="O38" s="3" t="s">
        <v>43</v>
      </c>
      <c r="P38" s="3">
        <v>1</v>
      </c>
      <c r="Q38" s="3" t="s">
        <v>358</v>
      </c>
      <c r="R38" s="3" t="s">
        <v>34</v>
      </c>
      <c r="S38" s="3" t="s">
        <v>34</v>
      </c>
      <c r="T38" s="3"/>
      <c r="U38" s="16"/>
      <c r="V38" s="16"/>
      <c r="W38" s="1"/>
    </row>
    <row r="39" spans="1:23" ht="28.15" customHeight="1">
      <c r="A39" s="3" t="s">
        <v>359</v>
      </c>
      <c r="B39" s="3" t="s">
        <v>360</v>
      </c>
      <c r="C39" s="3" t="s">
        <v>24</v>
      </c>
      <c r="D39" s="3"/>
      <c r="E39" s="3" t="s">
        <v>361</v>
      </c>
      <c r="F39" s="3" t="s">
        <v>362</v>
      </c>
      <c r="G39" s="3"/>
      <c r="H39" s="3" t="s">
        <v>363</v>
      </c>
      <c r="I39" s="3"/>
      <c r="J39" s="3" t="s">
        <v>364</v>
      </c>
      <c r="K39" s="3" t="s">
        <v>365</v>
      </c>
      <c r="L39" s="3"/>
      <c r="M39" s="3" t="s">
        <v>366</v>
      </c>
      <c r="N39" s="3" t="s">
        <v>31</v>
      </c>
      <c r="O39" s="3" t="s">
        <v>43</v>
      </c>
      <c r="P39" s="3">
        <v>2</v>
      </c>
      <c r="Q39" s="3" t="s">
        <v>367</v>
      </c>
      <c r="R39" s="3" t="s">
        <v>34</v>
      </c>
      <c r="S39" s="3" t="s">
        <v>34</v>
      </c>
      <c r="T39" s="3"/>
      <c r="U39" s="17"/>
      <c r="V39" s="17"/>
      <c r="W39" s="1"/>
    </row>
    <row r="40" spans="1:23" ht="28.15" customHeight="1">
      <c r="A40" s="3" t="s">
        <v>368</v>
      </c>
      <c r="B40" s="3" t="s">
        <v>369</v>
      </c>
      <c r="C40" s="3" t="s">
        <v>24</v>
      </c>
      <c r="D40" s="3"/>
      <c r="E40" s="3" t="s">
        <v>361</v>
      </c>
      <c r="F40" s="3" t="s">
        <v>370</v>
      </c>
      <c r="G40" s="3"/>
      <c r="H40" s="3" t="s">
        <v>371</v>
      </c>
      <c r="I40" s="3"/>
      <c r="J40" s="3" t="s">
        <v>364</v>
      </c>
      <c r="K40" s="3" t="s">
        <v>365</v>
      </c>
      <c r="L40" s="3"/>
      <c r="M40" s="3" t="s">
        <v>372</v>
      </c>
      <c r="N40" s="3" t="s">
        <v>373</v>
      </c>
      <c r="O40" s="3" t="s">
        <v>32</v>
      </c>
      <c r="P40" s="3">
        <v>3</v>
      </c>
      <c r="Q40" s="3" t="s">
        <v>374</v>
      </c>
      <c r="R40" s="3" t="s">
        <v>34</v>
      </c>
      <c r="S40" s="3" t="s">
        <v>34</v>
      </c>
      <c r="T40" s="3"/>
      <c r="U40" s="16"/>
      <c r="V40" s="16"/>
      <c r="W40" s="1"/>
    </row>
    <row r="41" spans="1:23" ht="28.15" customHeight="1">
      <c r="A41" s="3" t="s">
        <v>375</v>
      </c>
      <c r="B41" s="3" t="s">
        <v>376</v>
      </c>
      <c r="C41" s="3" t="s">
        <v>24</v>
      </c>
      <c r="D41" s="3"/>
      <c r="E41" s="3" t="s">
        <v>377</v>
      </c>
      <c r="F41" s="3" t="s">
        <v>378</v>
      </c>
      <c r="G41" s="3"/>
      <c r="H41" s="3" t="s">
        <v>379</v>
      </c>
      <c r="I41" s="3"/>
      <c r="J41" s="3" t="s">
        <v>50</v>
      </c>
      <c r="K41" s="3" t="s">
        <v>380</v>
      </c>
      <c r="L41" s="3"/>
      <c r="M41" s="3" t="s">
        <v>381</v>
      </c>
      <c r="N41" s="3" t="s">
        <v>73</v>
      </c>
      <c r="O41" s="3" t="s">
        <v>43</v>
      </c>
      <c r="P41" s="3">
        <v>1</v>
      </c>
      <c r="Q41" s="3" t="s">
        <v>382</v>
      </c>
      <c r="R41" s="3" t="s">
        <v>34</v>
      </c>
      <c r="S41" s="3" t="s">
        <v>34</v>
      </c>
      <c r="T41" s="3"/>
      <c r="U41" s="17"/>
      <c r="V41" s="17" t="s">
        <v>152</v>
      </c>
      <c r="W41" s="1"/>
    </row>
    <row r="42" spans="1:23" ht="28.15" customHeight="1">
      <c r="A42" s="3" t="s">
        <v>383</v>
      </c>
      <c r="B42" s="3" t="s">
        <v>384</v>
      </c>
      <c r="C42" s="3" t="s">
        <v>24</v>
      </c>
      <c r="D42" s="3"/>
      <c r="E42" s="3" t="s">
        <v>24</v>
      </c>
      <c r="F42" s="3" t="s">
        <v>385</v>
      </c>
      <c r="G42" s="3"/>
      <c r="H42" s="3" t="s">
        <v>386</v>
      </c>
      <c r="I42" s="3"/>
      <c r="J42" s="3" t="s">
        <v>355</v>
      </c>
      <c r="K42" s="3" t="s">
        <v>356</v>
      </c>
      <c r="L42" s="3"/>
      <c r="M42" s="3" t="s">
        <v>387</v>
      </c>
      <c r="N42" s="3" t="s">
        <v>31</v>
      </c>
      <c r="O42" s="3" t="s">
        <v>32</v>
      </c>
      <c r="P42" s="3">
        <v>1</v>
      </c>
      <c r="Q42" s="3" t="s">
        <v>388</v>
      </c>
      <c r="R42" s="3" t="s">
        <v>34</v>
      </c>
      <c r="S42" s="3" t="s">
        <v>34</v>
      </c>
      <c r="T42" s="3"/>
      <c r="U42" s="16"/>
      <c r="V42" s="16"/>
      <c r="W42" s="1"/>
    </row>
    <row r="43" spans="1:23" ht="28.15" customHeight="1">
      <c r="A43" s="3" t="s">
        <v>389</v>
      </c>
      <c r="B43" s="3" t="s">
        <v>390</v>
      </c>
      <c r="C43" s="3" t="s">
        <v>24</v>
      </c>
      <c r="D43" s="3"/>
      <c r="E43" s="3" t="s">
        <v>24</v>
      </c>
      <c r="F43" s="3" t="s">
        <v>391</v>
      </c>
      <c r="G43" s="3"/>
      <c r="H43" s="3" t="s">
        <v>392</v>
      </c>
      <c r="I43" s="3"/>
      <c r="J43" s="3" t="s">
        <v>393</v>
      </c>
      <c r="K43" s="3" t="s">
        <v>394</v>
      </c>
      <c r="L43" s="3"/>
      <c r="M43" s="3" t="s">
        <v>395</v>
      </c>
      <c r="N43" s="3" t="s">
        <v>73</v>
      </c>
      <c r="O43" s="3" t="s">
        <v>43</v>
      </c>
      <c r="P43" s="3">
        <v>1</v>
      </c>
      <c r="Q43" s="3" t="s">
        <v>396</v>
      </c>
      <c r="R43" s="3" t="s">
        <v>34</v>
      </c>
      <c r="S43" s="3" t="s">
        <v>34</v>
      </c>
      <c r="T43" s="3"/>
      <c r="U43" s="17"/>
      <c r="V43" s="17"/>
      <c r="W43" s="1"/>
    </row>
    <row r="44" spans="1:23" ht="28.15" customHeight="1">
      <c r="A44" s="3" t="s">
        <v>397</v>
      </c>
      <c r="B44" s="3" t="s">
        <v>398</v>
      </c>
      <c r="C44" s="3" t="s">
        <v>24</v>
      </c>
      <c r="D44" s="3"/>
      <c r="E44" s="3" t="s">
        <v>399</v>
      </c>
      <c r="F44" s="3" t="s">
        <v>400</v>
      </c>
      <c r="G44" s="3"/>
      <c r="H44" s="3" t="s">
        <v>401</v>
      </c>
      <c r="I44" s="3"/>
      <c r="J44" s="3">
        <v>20118</v>
      </c>
      <c r="K44" s="3" t="s">
        <v>402</v>
      </c>
      <c r="L44" s="3"/>
      <c r="M44" s="3" t="s">
        <v>403</v>
      </c>
      <c r="N44" s="3" t="s">
        <v>42</v>
      </c>
      <c r="O44" s="3" t="s">
        <v>43</v>
      </c>
      <c r="P44" s="3">
        <v>1</v>
      </c>
      <c r="Q44" s="3" t="s">
        <v>404</v>
      </c>
      <c r="R44" s="3" t="s">
        <v>34</v>
      </c>
      <c r="S44" s="3" t="s">
        <v>34</v>
      </c>
      <c r="T44" s="3"/>
      <c r="U44" s="16" t="s">
        <v>405</v>
      </c>
      <c r="V44" s="16" t="s">
        <v>55</v>
      </c>
      <c r="W44" s="1"/>
    </row>
    <row r="45" spans="1:23" ht="28.15" customHeight="1">
      <c r="A45" s="3" t="s">
        <v>406</v>
      </c>
      <c r="B45" s="3" t="s">
        <v>407</v>
      </c>
      <c r="C45" s="3" t="s">
        <v>24</v>
      </c>
      <c r="D45" s="3"/>
      <c r="E45" s="3" t="s">
        <v>408</v>
      </c>
      <c r="F45" s="3" t="s">
        <v>409</v>
      </c>
      <c r="G45" s="3"/>
      <c r="H45" s="3" t="s">
        <v>410</v>
      </c>
      <c r="I45" s="3" t="s">
        <v>411</v>
      </c>
      <c r="J45" s="3" t="s">
        <v>412</v>
      </c>
      <c r="K45" s="3" t="s">
        <v>413</v>
      </c>
      <c r="L45" s="3"/>
      <c r="M45" s="3" t="s">
        <v>414</v>
      </c>
      <c r="N45" s="3" t="s">
        <v>42</v>
      </c>
      <c r="O45" s="3" t="s">
        <v>43</v>
      </c>
      <c r="P45" s="3">
        <v>1</v>
      </c>
      <c r="Q45" s="3" t="s">
        <v>415</v>
      </c>
      <c r="R45" s="3" t="s">
        <v>34</v>
      </c>
      <c r="S45" s="3" t="s">
        <v>34</v>
      </c>
      <c r="T45" s="3"/>
      <c r="U45" s="17"/>
      <c r="V45" s="17" t="s">
        <v>152</v>
      </c>
      <c r="W45" s="1"/>
    </row>
    <row r="46" spans="1:23" ht="28.15" customHeight="1">
      <c r="A46" s="3" t="s">
        <v>416</v>
      </c>
      <c r="B46" s="3" t="s">
        <v>417</v>
      </c>
      <c r="C46" s="3" t="s">
        <v>24</v>
      </c>
      <c r="D46" s="3"/>
      <c r="E46" s="3" t="s">
        <v>418</v>
      </c>
      <c r="F46" s="3" t="s">
        <v>419</v>
      </c>
      <c r="G46" s="3" t="s">
        <v>420</v>
      </c>
      <c r="H46" s="3" t="s">
        <v>421</v>
      </c>
      <c r="I46" s="3"/>
      <c r="J46" s="3" t="s">
        <v>422</v>
      </c>
      <c r="K46" s="3" t="s">
        <v>423</v>
      </c>
      <c r="L46" s="3" t="s">
        <v>424</v>
      </c>
      <c r="M46" s="3" t="s">
        <v>425</v>
      </c>
      <c r="N46" s="3" t="s">
        <v>31</v>
      </c>
      <c r="O46" s="3" t="s">
        <v>32</v>
      </c>
      <c r="P46" s="3">
        <v>1</v>
      </c>
      <c r="Q46" s="3" t="s">
        <v>426</v>
      </c>
      <c r="R46" s="3" t="s">
        <v>34</v>
      </c>
      <c r="S46" s="3" t="s">
        <v>34</v>
      </c>
      <c r="T46" s="3"/>
      <c r="U46" s="16"/>
      <c r="V46" s="16" t="s">
        <v>152</v>
      </c>
      <c r="W46" s="1" t="s">
        <v>1949</v>
      </c>
    </row>
    <row r="47" spans="1:23" ht="28.15" customHeight="1">
      <c r="A47" s="3" t="s">
        <v>427</v>
      </c>
      <c r="B47" s="3" t="s">
        <v>428</v>
      </c>
      <c r="C47" s="3" t="s">
        <v>24</v>
      </c>
      <c r="D47" s="3"/>
      <c r="E47" s="3" t="s">
        <v>429</v>
      </c>
      <c r="F47" s="3" t="s">
        <v>430</v>
      </c>
      <c r="G47" s="3"/>
      <c r="H47" s="3" t="s">
        <v>69</v>
      </c>
      <c r="I47" s="3"/>
      <c r="J47" s="3" t="s">
        <v>70</v>
      </c>
      <c r="K47" s="3" t="s">
        <v>71</v>
      </c>
      <c r="L47" s="3"/>
      <c r="M47" s="3" t="s">
        <v>431</v>
      </c>
      <c r="N47" s="3" t="s">
        <v>185</v>
      </c>
      <c r="O47" s="3" t="s">
        <v>43</v>
      </c>
      <c r="P47" s="3">
        <v>2</v>
      </c>
      <c r="Q47" s="3" t="s">
        <v>432</v>
      </c>
      <c r="R47" s="3" t="s">
        <v>34</v>
      </c>
      <c r="S47" s="3" t="s">
        <v>34</v>
      </c>
      <c r="T47" s="3"/>
      <c r="U47" s="17"/>
      <c r="V47" s="17" t="s">
        <v>152</v>
      </c>
      <c r="W47" s="1"/>
    </row>
    <row r="48" spans="1:23" ht="28.15" customHeight="1">
      <c r="A48" s="3" t="s">
        <v>433</v>
      </c>
      <c r="B48" s="3" t="s">
        <v>434</v>
      </c>
      <c r="C48" s="3" t="s">
        <v>24</v>
      </c>
      <c r="D48" s="3"/>
      <c r="E48" s="3" t="s">
        <v>435</v>
      </c>
      <c r="F48" s="3" t="s">
        <v>436</v>
      </c>
      <c r="G48" s="3"/>
      <c r="H48" s="3" t="s">
        <v>437</v>
      </c>
      <c r="I48" s="3"/>
      <c r="J48" s="3" t="s">
        <v>438</v>
      </c>
      <c r="K48" s="3" t="s">
        <v>439</v>
      </c>
      <c r="L48" s="3"/>
      <c r="M48" s="3" t="s">
        <v>440</v>
      </c>
      <c r="N48" s="3" t="s">
        <v>42</v>
      </c>
      <c r="O48" s="3" t="s">
        <v>43</v>
      </c>
      <c r="P48" s="3">
        <v>1</v>
      </c>
      <c r="Q48" s="3" t="s">
        <v>441</v>
      </c>
      <c r="R48" s="3" t="s">
        <v>34</v>
      </c>
      <c r="S48" s="3" t="s">
        <v>34</v>
      </c>
      <c r="T48" s="3"/>
      <c r="U48" s="16"/>
      <c r="V48" s="16" t="s">
        <v>152</v>
      </c>
      <c r="W48" s="1"/>
    </row>
    <row r="49" spans="1:23" ht="28.15" customHeight="1">
      <c r="A49" s="3" t="s">
        <v>442</v>
      </c>
      <c r="B49" s="3" t="s">
        <v>443</v>
      </c>
      <c r="C49" s="3" t="s">
        <v>24</v>
      </c>
      <c r="D49" s="3"/>
      <c r="E49" s="3" t="s">
        <v>444</v>
      </c>
      <c r="F49" s="3" t="s">
        <v>445</v>
      </c>
      <c r="G49" s="3"/>
      <c r="H49" s="3" t="s">
        <v>446</v>
      </c>
      <c r="I49" s="3"/>
      <c r="J49" s="3" t="s">
        <v>447</v>
      </c>
      <c r="K49" s="3" t="s">
        <v>448</v>
      </c>
      <c r="L49" s="3"/>
      <c r="M49" s="3" t="s">
        <v>449</v>
      </c>
      <c r="N49" s="3" t="s">
        <v>73</v>
      </c>
      <c r="O49" s="3" t="s">
        <v>43</v>
      </c>
      <c r="P49" s="3">
        <v>1</v>
      </c>
      <c r="Q49" s="3" t="s">
        <v>450</v>
      </c>
      <c r="R49" s="3" t="s">
        <v>34</v>
      </c>
      <c r="S49" s="3" t="s">
        <v>34</v>
      </c>
      <c r="T49" s="3"/>
      <c r="U49" s="17"/>
      <c r="V49" s="17"/>
      <c r="W49" s="1"/>
    </row>
    <row r="50" spans="1:23" ht="28.15" customHeight="1">
      <c r="A50" s="3" t="s">
        <v>451</v>
      </c>
      <c r="B50" s="3" t="s">
        <v>452</v>
      </c>
      <c r="C50" s="3" t="s">
        <v>24</v>
      </c>
      <c r="D50" s="3"/>
      <c r="E50" s="3" t="s">
        <v>453</v>
      </c>
      <c r="F50" s="3" t="s">
        <v>454</v>
      </c>
      <c r="G50" s="3"/>
      <c r="H50" s="3" t="s">
        <v>455</v>
      </c>
      <c r="I50" s="3"/>
      <c r="J50" s="3" t="s">
        <v>28</v>
      </c>
      <c r="K50" s="3" t="s">
        <v>456</v>
      </c>
      <c r="L50" s="3"/>
      <c r="M50" s="3" t="s">
        <v>457</v>
      </c>
      <c r="N50" s="3" t="s">
        <v>42</v>
      </c>
      <c r="O50" s="3" t="s">
        <v>43</v>
      </c>
      <c r="P50" s="3">
        <v>1</v>
      </c>
      <c r="Q50" s="3" t="s">
        <v>458</v>
      </c>
      <c r="R50" s="3" t="s">
        <v>34</v>
      </c>
      <c r="S50" s="3" t="s">
        <v>34</v>
      </c>
      <c r="T50" s="3"/>
      <c r="U50" s="16" t="s">
        <v>459</v>
      </c>
      <c r="V50" s="16" t="s">
        <v>55</v>
      </c>
      <c r="W50" s="1"/>
    </row>
    <row r="51" spans="1:23" ht="28.15" customHeight="1">
      <c r="A51" s="3" t="s">
        <v>460</v>
      </c>
      <c r="B51" s="3" t="s">
        <v>461</v>
      </c>
      <c r="C51" s="3" t="s">
        <v>24</v>
      </c>
      <c r="D51" s="3"/>
      <c r="E51" s="3" t="s">
        <v>462</v>
      </c>
      <c r="F51" s="3" t="s">
        <v>463</v>
      </c>
      <c r="G51" s="3"/>
      <c r="H51" s="3" t="s">
        <v>464</v>
      </c>
      <c r="I51" s="3" t="s">
        <v>465</v>
      </c>
      <c r="J51" s="3" t="s">
        <v>466</v>
      </c>
      <c r="K51" s="3" t="s">
        <v>467</v>
      </c>
      <c r="L51" s="3"/>
      <c r="M51" s="3" t="s">
        <v>468</v>
      </c>
      <c r="N51" s="3" t="s">
        <v>31</v>
      </c>
      <c r="O51" s="3" t="s">
        <v>43</v>
      </c>
      <c r="P51" s="3">
        <v>3</v>
      </c>
      <c r="Q51" s="3" t="s">
        <v>469</v>
      </c>
      <c r="R51" s="3" t="s">
        <v>34</v>
      </c>
      <c r="S51" s="3" t="s">
        <v>34</v>
      </c>
      <c r="T51" s="3"/>
      <c r="U51" s="17"/>
      <c r="V51" s="17" t="s">
        <v>152</v>
      </c>
      <c r="W51" s="1"/>
    </row>
    <row r="52" spans="1:23" ht="28.15" customHeight="1">
      <c r="A52" s="3" t="s">
        <v>470</v>
      </c>
      <c r="B52" s="3" t="s">
        <v>471</v>
      </c>
      <c r="C52" s="3" t="s">
        <v>24</v>
      </c>
      <c r="D52" s="3"/>
      <c r="E52" s="3" t="s">
        <v>472</v>
      </c>
      <c r="F52" s="3" t="s">
        <v>473</v>
      </c>
      <c r="G52" s="3"/>
      <c r="H52" s="3" t="s">
        <v>474</v>
      </c>
      <c r="I52" s="3"/>
      <c r="J52" s="3" t="s">
        <v>321</v>
      </c>
      <c r="K52" s="3" t="s">
        <v>322</v>
      </c>
      <c r="L52" s="3"/>
      <c r="M52" s="3" t="s">
        <v>475</v>
      </c>
      <c r="N52" s="3" t="s">
        <v>42</v>
      </c>
      <c r="O52" s="3" t="s">
        <v>43</v>
      </c>
      <c r="P52" s="3">
        <v>1</v>
      </c>
      <c r="Q52" s="3" t="s">
        <v>476</v>
      </c>
      <c r="R52" s="3" t="s">
        <v>34</v>
      </c>
      <c r="S52" s="3" t="s">
        <v>34</v>
      </c>
      <c r="T52" s="3"/>
      <c r="U52" s="16"/>
      <c r="V52" s="16" t="s">
        <v>152</v>
      </c>
      <c r="W52" s="1"/>
    </row>
    <row r="53" spans="1:23" ht="28.15" customHeight="1">
      <c r="A53" s="3" t="s">
        <v>477</v>
      </c>
      <c r="B53" s="3" t="s">
        <v>478</v>
      </c>
      <c r="C53" s="3" t="s">
        <v>24</v>
      </c>
      <c r="D53" s="3"/>
      <c r="E53" s="3" t="s">
        <v>479</v>
      </c>
      <c r="F53" s="3" t="s">
        <v>480</v>
      </c>
      <c r="G53" s="3"/>
      <c r="H53" s="3" t="s">
        <v>481</v>
      </c>
      <c r="I53" s="3"/>
      <c r="J53" s="3" t="s">
        <v>466</v>
      </c>
      <c r="K53" s="3" t="s">
        <v>467</v>
      </c>
      <c r="L53" s="3"/>
      <c r="M53" s="3" t="s">
        <v>482</v>
      </c>
      <c r="N53" s="3" t="s">
        <v>483</v>
      </c>
      <c r="O53" s="3" t="s">
        <v>32</v>
      </c>
      <c r="P53" s="3">
        <v>2</v>
      </c>
      <c r="Q53" s="3" t="s">
        <v>484</v>
      </c>
      <c r="R53" s="3" t="s">
        <v>34</v>
      </c>
      <c r="S53" s="3" t="s">
        <v>34</v>
      </c>
      <c r="T53" s="3"/>
      <c r="U53" s="17"/>
      <c r="V53" s="17"/>
      <c r="W53" s="1"/>
    </row>
    <row r="54" spans="1:23" ht="28.15" customHeight="1">
      <c r="A54" s="3" t="s">
        <v>485</v>
      </c>
      <c r="B54" s="3" t="s">
        <v>486</v>
      </c>
      <c r="C54" s="3" t="s">
        <v>24</v>
      </c>
      <c r="D54" s="3"/>
      <c r="E54" s="3" t="s">
        <v>327</v>
      </c>
      <c r="F54" s="3" t="s">
        <v>487</v>
      </c>
      <c r="G54" s="3" t="s">
        <v>488</v>
      </c>
      <c r="H54" s="3" t="s">
        <v>354</v>
      </c>
      <c r="I54" s="3"/>
      <c r="J54" s="3" t="s">
        <v>355</v>
      </c>
      <c r="K54" s="3" t="s">
        <v>356</v>
      </c>
      <c r="L54" s="3"/>
      <c r="M54" s="3" t="s">
        <v>489</v>
      </c>
      <c r="N54" s="3" t="s">
        <v>490</v>
      </c>
      <c r="O54" s="3" t="s">
        <v>32</v>
      </c>
      <c r="P54" s="3">
        <v>1</v>
      </c>
      <c r="Q54" s="3" t="s">
        <v>491</v>
      </c>
      <c r="R54" s="3" t="s">
        <v>34</v>
      </c>
      <c r="S54" s="3" t="s">
        <v>34</v>
      </c>
      <c r="T54" s="3"/>
      <c r="U54" s="16"/>
      <c r="V54" s="16" t="s">
        <v>152</v>
      </c>
      <c r="W54" s="1" t="s">
        <v>1950</v>
      </c>
    </row>
    <row r="55" spans="1:23" ht="28.15" customHeight="1">
      <c r="A55" s="3" t="s">
        <v>492</v>
      </c>
      <c r="B55" s="3" t="s">
        <v>493</v>
      </c>
      <c r="C55" s="3" t="s">
        <v>24</v>
      </c>
      <c r="D55" s="3"/>
      <c r="E55" s="3" t="s">
        <v>494</v>
      </c>
      <c r="F55" s="3" t="s">
        <v>495</v>
      </c>
      <c r="G55" s="3"/>
      <c r="H55" s="3" t="s">
        <v>496</v>
      </c>
      <c r="I55" s="3" t="s">
        <v>69</v>
      </c>
      <c r="J55" s="3" t="s">
        <v>70</v>
      </c>
      <c r="K55" s="3" t="s">
        <v>71</v>
      </c>
      <c r="L55" s="3"/>
      <c r="M55" s="3" t="s">
        <v>497</v>
      </c>
      <c r="N55" s="3" t="s">
        <v>73</v>
      </c>
      <c r="O55" s="3" t="s">
        <v>43</v>
      </c>
      <c r="P55" s="3">
        <v>2</v>
      </c>
      <c r="Q55" s="3" t="s">
        <v>498</v>
      </c>
      <c r="R55" s="3" t="s">
        <v>34</v>
      </c>
      <c r="S55" s="3" t="s">
        <v>34</v>
      </c>
      <c r="T55" s="3"/>
      <c r="U55" s="17"/>
      <c r="V55" s="17"/>
      <c r="W55" s="1"/>
    </row>
    <row r="56" spans="1:23" ht="28.15" customHeight="1">
      <c r="A56" s="3" t="s">
        <v>499</v>
      </c>
      <c r="B56" s="3" t="s">
        <v>500</v>
      </c>
      <c r="C56" s="3" t="s">
        <v>24</v>
      </c>
      <c r="D56" s="3"/>
      <c r="E56" s="3" t="s">
        <v>501</v>
      </c>
      <c r="F56" s="3" t="s">
        <v>502</v>
      </c>
      <c r="G56" s="3"/>
      <c r="H56" s="3" t="s">
        <v>503</v>
      </c>
      <c r="I56" s="3"/>
      <c r="J56" s="3">
        <v>95370</v>
      </c>
      <c r="K56" s="3" t="s">
        <v>504</v>
      </c>
      <c r="L56" s="3"/>
      <c r="M56" s="3" t="s">
        <v>505</v>
      </c>
      <c r="N56" s="3" t="s">
        <v>73</v>
      </c>
      <c r="O56" s="3" t="s">
        <v>43</v>
      </c>
      <c r="P56" s="3">
        <v>1</v>
      </c>
      <c r="Q56" s="3" t="s">
        <v>506</v>
      </c>
      <c r="R56" s="3" t="s">
        <v>34</v>
      </c>
      <c r="S56" s="3" t="s">
        <v>34</v>
      </c>
      <c r="T56" s="3"/>
      <c r="U56" s="16" t="s">
        <v>507</v>
      </c>
      <c r="V56" s="16" t="s">
        <v>55</v>
      </c>
      <c r="W56" s="1"/>
    </row>
    <row r="57" spans="1:23" ht="28.15" customHeight="1">
      <c r="A57" s="3" t="s">
        <v>508</v>
      </c>
      <c r="B57" s="3" t="s">
        <v>509</v>
      </c>
      <c r="C57" s="3" t="s">
        <v>24</v>
      </c>
      <c r="D57" s="3"/>
      <c r="E57" s="3" t="s">
        <v>510</v>
      </c>
      <c r="F57" s="3" t="s">
        <v>511</v>
      </c>
      <c r="G57" s="3"/>
      <c r="H57" s="3" t="s">
        <v>512</v>
      </c>
      <c r="I57" s="3"/>
      <c r="J57" s="3" t="s">
        <v>513</v>
      </c>
      <c r="K57" s="3" t="s">
        <v>514</v>
      </c>
      <c r="L57" s="3"/>
      <c r="M57" s="3" t="s">
        <v>515</v>
      </c>
      <c r="N57" s="3" t="s">
        <v>73</v>
      </c>
      <c r="O57" s="3" t="s">
        <v>43</v>
      </c>
      <c r="P57" s="3">
        <v>1</v>
      </c>
      <c r="Q57" s="3" t="s">
        <v>516</v>
      </c>
      <c r="R57" s="3" t="s">
        <v>34</v>
      </c>
      <c r="S57" s="3" t="s">
        <v>34</v>
      </c>
      <c r="T57" s="3"/>
      <c r="U57" s="17"/>
      <c r="V57" s="17" t="s">
        <v>152</v>
      </c>
      <c r="W57" s="1"/>
    </row>
    <row r="58" spans="1:23" ht="28.15" customHeight="1">
      <c r="A58" s="3" t="s">
        <v>517</v>
      </c>
      <c r="B58" s="3" t="s">
        <v>518</v>
      </c>
      <c r="C58" s="3" t="s">
        <v>24</v>
      </c>
      <c r="D58" s="3"/>
      <c r="E58" s="3" t="s">
        <v>519</v>
      </c>
      <c r="F58" s="3" t="s">
        <v>520</v>
      </c>
      <c r="G58" s="3"/>
      <c r="H58" s="3" t="s">
        <v>521</v>
      </c>
      <c r="I58" s="3" t="s">
        <v>522</v>
      </c>
      <c r="J58" s="3" t="s">
        <v>523</v>
      </c>
      <c r="K58" s="3" t="s">
        <v>524</v>
      </c>
      <c r="L58" s="3"/>
      <c r="M58" s="3" t="s">
        <v>525</v>
      </c>
      <c r="N58" s="3" t="s">
        <v>42</v>
      </c>
      <c r="O58" s="3" t="s">
        <v>43</v>
      </c>
      <c r="P58" s="3">
        <v>1</v>
      </c>
      <c r="Q58" s="3" t="s">
        <v>526</v>
      </c>
      <c r="R58" s="3" t="s">
        <v>34</v>
      </c>
      <c r="S58" s="3" t="s">
        <v>34</v>
      </c>
      <c r="T58" s="3"/>
      <c r="U58" s="16"/>
      <c r="V58" s="16"/>
      <c r="W58" s="1"/>
    </row>
    <row r="59" spans="1:23" ht="28.15" customHeight="1">
      <c r="A59" s="3" t="s">
        <v>527</v>
      </c>
      <c r="B59" s="3" t="s">
        <v>528</v>
      </c>
      <c r="C59" s="3" t="s">
        <v>24</v>
      </c>
      <c r="D59" s="3"/>
      <c r="E59" s="3" t="s">
        <v>529</v>
      </c>
      <c r="F59" s="3" t="s">
        <v>530</v>
      </c>
      <c r="G59" s="3"/>
      <c r="H59" s="3" t="s">
        <v>531</v>
      </c>
      <c r="I59" s="3"/>
      <c r="J59" s="3" t="s">
        <v>28</v>
      </c>
      <c r="K59" s="3" t="s">
        <v>29</v>
      </c>
      <c r="L59" s="3"/>
      <c r="M59" s="3" t="s">
        <v>532</v>
      </c>
      <c r="N59" s="3" t="s">
        <v>42</v>
      </c>
      <c r="O59" s="3" t="s">
        <v>43</v>
      </c>
      <c r="P59" s="3">
        <v>1</v>
      </c>
      <c r="Q59" s="3" t="s">
        <v>533</v>
      </c>
      <c r="R59" s="3" t="s">
        <v>34</v>
      </c>
      <c r="S59" s="3" t="s">
        <v>34</v>
      </c>
      <c r="T59" s="3"/>
      <c r="U59" s="17"/>
      <c r="V59" s="17"/>
      <c r="W59" s="1"/>
    </row>
    <row r="60" spans="1:23" ht="28.15" customHeight="1">
      <c r="A60" s="3" t="s">
        <v>534</v>
      </c>
      <c r="B60" s="3" t="s">
        <v>535</v>
      </c>
      <c r="C60" s="3" t="s">
        <v>24</v>
      </c>
      <c r="D60" s="3"/>
      <c r="E60" s="3" t="s">
        <v>536</v>
      </c>
      <c r="F60" s="3" t="s">
        <v>537</v>
      </c>
      <c r="G60" s="3"/>
      <c r="H60" s="3" t="s">
        <v>538</v>
      </c>
      <c r="I60" s="3"/>
      <c r="J60" s="3" t="s">
        <v>539</v>
      </c>
      <c r="K60" s="3" t="s">
        <v>540</v>
      </c>
      <c r="L60" s="3"/>
      <c r="M60" s="3" t="s">
        <v>541</v>
      </c>
      <c r="N60" s="3" t="s">
        <v>73</v>
      </c>
      <c r="O60" s="3" t="s">
        <v>43</v>
      </c>
      <c r="P60" s="3">
        <v>1</v>
      </c>
      <c r="Q60" s="3" t="s">
        <v>542</v>
      </c>
      <c r="R60" s="3" t="s">
        <v>34</v>
      </c>
      <c r="S60" s="3" t="s">
        <v>34</v>
      </c>
      <c r="T60" s="3"/>
      <c r="U60" s="16"/>
      <c r="V60" s="16" t="s">
        <v>152</v>
      </c>
      <c r="W60" s="1"/>
    </row>
    <row r="61" spans="1:23" ht="28.15" customHeight="1">
      <c r="A61" s="3" t="s">
        <v>543</v>
      </c>
      <c r="B61" s="3" t="s">
        <v>544</v>
      </c>
      <c r="C61" s="3" t="s">
        <v>24</v>
      </c>
      <c r="D61" s="3"/>
      <c r="E61" s="3" t="s">
        <v>545</v>
      </c>
      <c r="F61" s="3" t="s">
        <v>546</v>
      </c>
      <c r="G61" s="3"/>
      <c r="H61" s="3" t="s">
        <v>547</v>
      </c>
      <c r="I61" s="3"/>
      <c r="J61" s="3" t="s">
        <v>548</v>
      </c>
      <c r="K61" s="3" t="s">
        <v>549</v>
      </c>
      <c r="L61" s="3"/>
      <c r="M61" s="3" t="s">
        <v>550</v>
      </c>
      <c r="N61" s="3" t="s">
        <v>42</v>
      </c>
      <c r="O61" s="3" t="s">
        <v>43</v>
      </c>
      <c r="P61" s="3">
        <v>1</v>
      </c>
      <c r="Q61" s="3" t="s">
        <v>551</v>
      </c>
      <c r="R61" s="3" t="s">
        <v>34</v>
      </c>
      <c r="S61" s="3" t="s">
        <v>34</v>
      </c>
      <c r="T61" s="3"/>
      <c r="U61" s="17"/>
      <c r="V61" s="17"/>
      <c r="W61" s="1"/>
    </row>
    <row r="62" spans="1:23" ht="28.15" customHeight="1">
      <c r="A62" s="3" t="s">
        <v>552</v>
      </c>
      <c r="B62" s="3" t="s">
        <v>553</v>
      </c>
      <c r="C62" s="3" t="s">
        <v>24</v>
      </c>
      <c r="D62" s="3"/>
      <c r="E62" s="3" t="s">
        <v>554</v>
      </c>
      <c r="F62" s="3" t="s">
        <v>555</v>
      </c>
      <c r="G62" s="3"/>
      <c r="H62" s="3" t="s">
        <v>556</v>
      </c>
      <c r="I62" s="3"/>
      <c r="J62" s="3" t="s">
        <v>174</v>
      </c>
      <c r="K62" s="3" t="s">
        <v>557</v>
      </c>
      <c r="L62" s="3"/>
      <c r="M62" s="3" t="s">
        <v>558</v>
      </c>
      <c r="N62" s="3" t="s">
        <v>31</v>
      </c>
      <c r="O62" s="3" t="s">
        <v>43</v>
      </c>
      <c r="P62" s="3">
        <v>1</v>
      </c>
      <c r="Q62" s="3" t="s">
        <v>559</v>
      </c>
      <c r="R62" s="3" t="s">
        <v>34</v>
      </c>
      <c r="S62" s="3" t="s">
        <v>34</v>
      </c>
      <c r="T62" s="3"/>
      <c r="U62" s="16"/>
      <c r="V62" s="16"/>
      <c r="W62" s="1"/>
    </row>
    <row r="63" spans="1:23" ht="28.15" customHeight="1">
      <c r="A63" s="3" t="s">
        <v>560</v>
      </c>
      <c r="B63" s="3" t="s">
        <v>561</v>
      </c>
      <c r="C63" s="3" t="s">
        <v>24</v>
      </c>
      <c r="D63" s="3"/>
      <c r="E63" s="3" t="s">
        <v>562</v>
      </c>
      <c r="F63" s="3" t="s">
        <v>563</v>
      </c>
      <c r="G63" s="3"/>
      <c r="H63" s="3" t="s">
        <v>564</v>
      </c>
      <c r="I63" s="3"/>
      <c r="J63" s="3" t="s">
        <v>80</v>
      </c>
      <c r="K63" s="3" t="s">
        <v>81</v>
      </c>
      <c r="L63" s="3"/>
      <c r="M63" s="3" t="s">
        <v>565</v>
      </c>
      <c r="N63" s="3" t="s">
        <v>566</v>
      </c>
      <c r="O63" s="3" t="s">
        <v>32</v>
      </c>
      <c r="P63" s="3">
        <v>1</v>
      </c>
      <c r="Q63" s="3" t="s">
        <v>567</v>
      </c>
      <c r="R63" s="3" t="s">
        <v>34</v>
      </c>
      <c r="S63" s="3" t="s">
        <v>34</v>
      </c>
      <c r="T63" s="3"/>
      <c r="U63" s="17"/>
      <c r="V63" s="17"/>
      <c r="W63" s="1"/>
    </row>
    <row r="64" spans="1:23" ht="28.15" customHeight="1">
      <c r="A64" s="3" t="s">
        <v>568</v>
      </c>
      <c r="B64" s="3" t="s">
        <v>569</v>
      </c>
      <c r="C64" s="3" t="s">
        <v>24</v>
      </c>
      <c r="D64" s="3"/>
      <c r="E64" s="3" t="s">
        <v>570</v>
      </c>
      <c r="F64" s="3" t="s">
        <v>571</v>
      </c>
      <c r="G64" s="3"/>
      <c r="H64" s="3" t="s">
        <v>572</v>
      </c>
      <c r="I64" s="3"/>
      <c r="J64" s="3" t="s">
        <v>573</v>
      </c>
      <c r="K64" s="3" t="s">
        <v>574</v>
      </c>
      <c r="L64" s="3"/>
      <c r="M64" s="3" t="s">
        <v>575</v>
      </c>
      <c r="N64" s="3" t="s">
        <v>31</v>
      </c>
      <c r="O64" s="3" t="s">
        <v>43</v>
      </c>
      <c r="P64" s="3">
        <v>1</v>
      </c>
      <c r="Q64" s="3" t="s">
        <v>576</v>
      </c>
      <c r="R64" s="3" t="s">
        <v>34</v>
      </c>
      <c r="S64" s="3" t="s">
        <v>34</v>
      </c>
      <c r="T64" s="3"/>
      <c r="U64" s="16"/>
      <c r="V64" s="16"/>
      <c r="W64" s="1"/>
    </row>
    <row r="65" spans="1:23" ht="28.15" customHeight="1">
      <c r="A65" s="3" t="s">
        <v>577</v>
      </c>
      <c r="B65" s="3" t="s">
        <v>578</v>
      </c>
      <c r="C65" s="3" t="s">
        <v>24</v>
      </c>
      <c r="D65" s="3"/>
      <c r="E65" s="3" t="s">
        <v>579</v>
      </c>
      <c r="F65" s="3" t="s">
        <v>580</v>
      </c>
      <c r="G65" s="3"/>
      <c r="H65" s="3" t="s">
        <v>581</v>
      </c>
      <c r="I65" s="3"/>
      <c r="J65" s="3" t="s">
        <v>573</v>
      </c>
      <c r="K65" s="3" t="s">
        <v>574</v>
      </c>
      <c r="L65" s="3"/>
      <c r="M65" s="3" t="s">
        <v>582</v>
      </c>
      <c r="N65" s="3" t="s">
        <v>73</v>
      </c>
      <c r="O65" s="3" t="s">
        <v>43</v>
      </c>
      <c r="P65" s="3">
        <v>1</v>
      </c>
      <c r="Q65" s="3" t="s">
        <v>583</v>
      </c>
      <c r="R65" s="3" t="s">
        <v>34</v>
      </c>
      <c r="S65" s="3" t="s">
        <v>34</v>
      </c>
      <c r="T65" s="3"/>
      <c r="U65" s="17"/>
      <c r="V65" s="17"/>
      <c r="W65" s="1"/>
    </row>
    <row r="66" spans="1:23" ht="28.15" customHeight="1">
      <c r="A66" s="3" t="s">
        <v>584</v>
      </c>
      <c r="B66" s="3" t="s">
        <v>585</v>
      </c>
      <c r="C66" s="3" t="s">
        <v>24</v>
      </c>
      <c r="D66" s="3"/>
      <c r="E66" s="3" t="s">
        <v>586</v>
      </c>
      <c r="F66" s="3" t="s">
        <v>587</v>
      </c>
      <c r="G66" s="3" t="s">
        <v>588</v>
      </c>
      <c r="H66" s="3" t="s">
        <v>589</v>
      </c>
      <c r="I66" s="3"/>
      <c r="J66" s="3">
        <v>95300</v>
      </c>
      <c r="K66" s="3" t="s">
        <v>423</v>
      </c>
      <c r="L66" s="3"/>
      <c r="M66" s="3" t="s">
        <v>590</v>
      </c>
      <c r="N66" s="3" t="s">
        <v>31</v>
      </c>
      <c r="O66" s="3" t="s">
        <v>43</v>
      </c>
      <c r="P66" s="3">
        <v>1</v>
      </c>
      <c r="Q66" s="3" t="s">
        <v>591</v>
      </c>
      <c r="R66" s="3" t="s">
        <v>34</v>
      </c>
      <c r="S66" s="3" t="s">
        <v>34</v>
      </c>
      <c r="T66" s="3" t="s">
        <v>592</v>
      </c>
      <c r="U66" s="16" t="s">
        <v>593</v>
      </c>
      <c r="V66" s="16" t="s">
        <v>55</v>
      </c>
      <c r="W66" s="1" t="s">
        <v>1951</v>
      </c>
    </row>
    <row r="67" spans="1:23" ht="28.15" customHeight="1">
      <c r="A67" s="3" t="s">
        <v>594</v>
      </c>
      <c r="B67" s="3" t="s">
        <v>595</v>
      </c>
      <c r="C67" s="3" t="s">
        <v>24</v>
      </c>
      <c r="D67" s="3"/>
      <c r="E67" s="3" t="s">
        <v>453</v>
      </c>
      <c r="F67" s="3" t="s">
        <v>596</v>
      </c>
      <c r="G67" s="3"/>
      <c r="H67" s="3" t="s">
        <v>597</v>
      </c>
      <c r="I67" s="3"/>
      <c r="J67" s="3" t="s">
        <v>598</v>
      </c>
      <c r="K67" s="3" t="s">
        <v>599</v>
      </c>
      <c r="L67" s="3"/>
      <c r="M67" s="3" t="s">
        <v>600</v>
      </c>
      <c r="N67" s="3" t="s">
        <v>42</v>
      </c>
      <c r="O67" s="3" t="s">
        <v>43</v>
      </c>
      <c r="P67" s="3">
        <v>1</v>
      </c>
      <c r="Q67" s="3" t="s">
        <v>601</v>
      </c>
      <c r="R67" s="3" t="s">
        <v>34</v>
      </c>
      <c r="S67" s="3" t="s">
        <v>34</v>
      </c>
      <c r="T67" s="3" t="s">
        <v>602</v>
      </c>
      <c r="U67" s="17" t="s">
        <v>603</v>
      </c>
      <c r="V67" s="17" t="s">
        <v>55</v>
      </c>
      <c r="W67" s="1"/>
    </row>
    <row r="68" spans="1:23" ht="28.15" customHeight="1">
      <c r="A68" s="3" t="s">
        <v>604</v>
      </c>
      <c r="B68" s="3" t="s">
        <v>605</v>
      </c>
      <c r="C68" s="3" t="s">
        <v>24</v>
      </c>
      <c r="D68" s="3"/>
      <c r="E68" s="3" t="s">
        <v>606</v>
      </c>
      <c r="F68" s="3" t="s">
        <v>607</v>
      </c>
      <c r="G68" s="3"/>
      <c r="H68" s="3" t="s">
        <v>608</v>
      </c>
      <c r="I68" s="3"/>
      <c r="J68" s="3">
        <v>95260</v>
      </c>
      <c r="K68" s="3" t="s">
        <v>99</v>
      </c>
      <c r="L68" s="3"/>
      <c r="M68" s="3" t="s">
        <v>609</v>
      </c>
      <c r="N68" s="3" t="s">
        <v>610</v>
      </c>
      <c r="O68" s="3" t="s">
        <v>32</v>
      </c>
      <c r="P68" s="3">
        <v>1</v>
      </c>
      <c r="Q68" s="3" t="s">
        <v>611</v>
      </c>
      <c r="R68" s="3" t="s">
        <v>34</v>
      </c>
      <c r="S68" s="3" t="s">
        <v>34</v>
      </c>
      <c r="T68" s="3" t="s">
        <v>102</v>
      </c>
      <c r="U68" s="16" t="s">
        <v>612</v>
      </c>
      <c r="V68" s="16" t="s">
        <v>55</v>
      </c>
      <c r="W68" s="1"/>
    </row>
    <row r="69" spans="1:23" ht="28.15" customHeight="1">
      <c r="A69" s="3" t="s">
        <v>613</v>
      </c>
      <c r="B69" s="3" t="s">
        <v>614</v>
      </c>
      <c r="C69" s="3" t="s">
        <v>24</v>
      </c>
      <c r="D69" s="3"/>
      <c r="E69" s="3" t="s">
        <v>615</v>
      </c>
      <c r="F69" s="3" t="s">
        <v>616</v>
      </c>
      <c r="G69" s="3"/>
      <c r="H69" s="3" t="s">
        <v>564</v>
      </c>
      <c r="I69" s="3"/>
      <c r="J69" s="3" t="s">
        <v>80</v>
      </c>
      <c r="K69" s="3" t="s">
        <v>81</v>
      </c>
      <c r="L69" s="3"/>
      <c r="M69" s="3" t="s">
        <v>617</v>
      </c>
      <c r="N69" s="3" t="s">
        <v>618</v>
      </c>
      <c r="O69" s="3" t="s">
        <v>32</v>
      </c>
      <c r="P69" s="3">
        <v>1</v>
      </c>
      <c r="Q69" s="3" t="s">
        <v>619</v>
      </c>
      <c r="R69" s="3" t="s">
        <v>34</v>
      </c>
      <c r="S69" s="3" t="s">
        <v>34</v>
      </c>
      <c r="T69" s="3"/>
      <c r="U69" s="17"/>
      <c r="V69" s="17"/>
      <c r="W69" s="1"/>
    </row>
    <row r="70" spans="1:23" ht="28.15" customHeight="1">
      <c r="A70" s="3" t="s">
        <v>620</v>
      </c>
      <c r="B70" s="3" t="s">
        <v>621</v>
      </c>
      <c r="C70" s="3" t="s">
        <v>24</v>
      </c>
      <c r="D70" s="3"/>
      <c r="E70" s="3" t="s">
        <v>622</v>
      </c>
      <c r="F70" s="3" t="s">
        <v>623</v>
      </c>
      <c r="G70" s="3"/>
      <c r="H70" s="3" t="s">
        <v>624</v>
      </c>
      <c r="I70" s="3"/>
      <c r="J70" s="3" t="s">
        <v>39</v>
      </c>
      <c r="K70" s="3" t="s">
        <v>40</v>
      </c>
      <c r="L70" s="3"/>
      <c r="M70" s="3" t="s">
        <v>625</v>
      </c>
      <c r="N70" s="3" t="s">
        <v>31</v>
      </c>
      <c r="O70" s="3" t="s">
        <v>43</v>
      </c>
      <c r="P70" s="3">
        <v>1</v>
      </c>
      <c r="Q70" s="3" t="s">
        <v>626</v>
      </c>
      <c r="R70" s="3" t="s">
        <v>34</v>
      </c>
      <c r="S70" s="3" t="s">
        <v>34</v>
      </c>
      <c r="T70" s="3"/>
      <c r="U70" s="16" t="s">
        <v>627</v>
      </c>
      <c r="V70" s="16" t="s">
        <v>55</v>
      </c>
      <c r="W70" s="1"/>
    </row>
    <row r="71" spans="1:23" ht="28.15" customHeight="1">
      <c r="A71" s="3" t="s">
        <v>628</v>
      </c>
      <c r="B71" s="3" t="s">
        <v>629</v>
      </c>
      <c r="C71" s="3" t="s">
        <v>24</v>
      </c>
      <c r="D71" s="3"/>
      <c r="E71" s="3" t="s">
        <v>630</v>
      </c>
      <c r="F71" s="3" t="s">
        <v>631</v>
      </c>
      <c r="G71" s="3"/>
      <c r="H71" s="3" t="s">
        <v>632</v>
      </c>
      <c r="I71" s="3"/>
      <c r="J71" s="3" t="s">
        <v>633</v>
      </c>
      <c r="K71" s="3" t="s">
        <v>634</v>
      </c>
      <c r="L71" s="3"/>
      <c r="M71" s="3" t="s">
        <v>635</v>
      </c>
      <c r="N71" s="3" t="s">
        <v>73</v>
      </c>
      <c r="O71" s="3" t="s">
        <v>43</v>
      </c>
      <c r="P71" s="3">
        <v>1</v>
      </c>
      <c r="Q71" s="3" t="s">
        <v>636</v>
      </c>
      <c r="R71" s="3" t="s">
        <v>34</v>
      </c>
      <c r="S71" s="3" t="s">
        <v>34</v>
      </c>
      <c r="T71" s="3"/>
      <c r="U71" s="17"/>
      <c r="V71" s="17"/>
      <c r="W71" s="1"/>
    </row>
    <row r="72" spans="1:23" ht="28.15" customHeight="1">
      <c r="A72" s="3" t="s">
        <v>637</v>
      </c>
      <c r="B72" s="3" t="s">
        <v>638</v>
      </c>
      <c r="C72" s="3" t="s">
        <v>24</v>
      </c>
      <c r="D72" s="3"/>
      <c r="E72" s="3" t="s">
        <v>453</v>
      </c>
      <c r="F72" s="3" t="s">
        <v>639</v>
      </c>
      <c r="G72" s="3" t="s">
        <v>640</v>
      </c>
      <c r="H72" s="3" t="s">
        <v>641</v>
      </c>
      <c r="I72" s="3"/>
      <c r="J72" s="3">
        <v>60240</v>
      </c>
      <c r="K72" s="3" t="s">
        <v>642</v>
      </c>
      <c r="L72" s="3"/>
      <c r="M72" s="3" t="s">
        <v>643</v>
      </c>
      <c r="N72" s="3" t="s">
        <v>31</v>
      </c>
      <c r="O72" s="3" t="s">
        <v>32</v>
      </c>
      <c r="P72" s="3">
        <v>1</v>
      </c>
      <c r="Q72" s="3" t="s">
        <v>644</v>
      </c>
      <c r="R72" s="3" t="s">
        <v>34</v>
      </c>
      <c r="S72" s="3" t="s">
        <v>34</v>
      </c>
      <c r="T72" s="3"/>
      <c r="U72" s="16" t="s">
        <v>645</v>
      </c>
      <c r="V72" s="16" t="s">
        <v>55</v>
      </c>
      <c r="W72" s="1" t="s">
        <v>1952</v>
      </c>
    </row>
    <row r="73" spans="1:23" ht="28.15" customHeight="1">
      <c r="A73" s="3" t="s">
        <v>646</v>
      </c>
      <c r="B73" s="3" t="s">
        <v>647</v>
      </c>
      <c r="C73" s="3" t="s">
        <v>24</v>
      </c>
      <c r="D73" s="3"/>
      <c r="E73" s="3" t="s">
        <v>648</v>
      </c>
      <c r="F73" s="3" t="s">
        <v>649</v>
      </c>
      <c r="G73" s="3"/>
      <c r="H73" s="3" t="s">
        <v>650</v>
      </c>
      <c r="I73" s="3"/>
      <c r="J73" s="3" t="s">
        <v>651</v>
      </c>
      <c r="K73" s="3" t="s">
        <v>652</v>
      </c>
      <c r="L73" s="3"/>
      <c r="M73" s="3" t="s">
        <v>653</v>
      </c>
      <c r="N73" s="3" t="s">
        <v>31</v>
      </c>
      <c r="O73" s="3" t="s">
        <v>43</v>
      </c>
      <c r="P73" s="3">
        <v>1</v>
      </c>
      <c r="Q73" s="3" t="s">
        <v>654</v>
      </c>
      <c r="R73" s="3" t="s">
        <v>34</v>
      </c>
      <c r="S73" s="3" t="s">
        <v>34</v>
      </c>
      <c r="T73" s="3"/>
      <c r="U73" s="17"/>
      <c r="V73" s="17"/>
      <c r="W73" s="1"/>
    </row>
    <row r="74" spans="1:23" ht="28.15" customHeight="1">
      <c r="A74" s="3" t="s">
        <v>655</v>
      </c>
      <c r="B74" s="3" t="s">
        <v>656</v>
      </c>
      <c r="C74" s="3" t="s">
        <v>24</v>
      </c>
      <c r="D74" s="3"/>
      <c r="E74" s="3" t="s">
        <v>657</v>
      </c>
      <c r="F74" s="3" t="s">
        <v>658</v>
      </c>
      <c r="G74" s="3"/>
      <c r="H74" s="3" t="s">
        <v>659</v>
      </c>
      <c r="I74" s="3"/>
      <c r="J74" s="3" t="s">
        <v>660</v>
      </c>
      <c r="K74" s="3" t="s">
        <v>661</v>
      </c>
      <c r="L74" s="3"/>
      <c r="M74" s="3" t="s">
        <v>662</v>
      </c>
      <c r="N74" s="3" t="s">
        <v>42</v>
      </c>
      <c r="O74" s="3" t="s">
        <v>43</v>
      </c>
      <c r="P74" s="3">
        <v>1</v>
      </c>
      <c r="Q74" s="3" t="s">
        <v>663</v>
      </c>
      <c r="R74" s="3" t="s">
        <v>34</v>
      </c>
      <c r="S74" s="3" t="s">
        <v>34</v>
      </c>
      <c r="T74" s="3"/>
      <c r="U74" s="16"/>
      <c r="V74" s="16"/>
      <c r="W74" s="1"/>
    </row>
    <row r="75" spans="1:23" ht="28.15" customHeight="1">
      <c r="A75" s="3" t="s">
        <v>664</v>
      </c>
      <c r="B75" s="3" t="s">
        <v>665</v>
      </c>
      <c r="C75" s="3" t="s">
        <v>24</v>
      </c>
      <c r="D75" s="3"/>
      <c r="E75" s="3" t="s">
        <v>666</v>
      </c>
      <c r="F75" s="3" t="s">
        <v>667</v>
      </c>
      <c r="G75" s="3"/>
      <c r="H75" s="3" t="s">
        <v>668</v>
      </c>
      <c r="I75" s="3"/>
      <c r="J75" s="3" t="s">
        <v>174</v>
      </c>
      <c r="K75" s="3" t="s">
        <v>669</v>
      </c>
      <c r="L75" s="3"/>
      <c r="M75" s="3" t="s">
        <v>670</v>
      </c>
      <c r="N75" s="3" t="s">
        <v>73</v>
      </c>
      <c r="O75" s="3" t="s">
        <v>43</v>
      </c>
      <c r="P75" s="3">
        <v>2</v>
      </c>
      <c r="Q75" s="3" t="s">
        <v>671</v>
      </c>
      <c r="R75" s="3" t="s">
        <v>34</v>
      </c>
      <c r="S75" s="3" t="s">
        <v>34</v>
      </c>
      <c r="T75" s="3"/>
      <c r="U75" s="17"/>
      <c r="V75" s="17"/>
      <c r="W75" s="1"/>
    </row>
    <row r="76" spans="1:23" ht="28.15" customHeight="1">
      <c r="A76" s="3" t="s">
        <v>672</v>
      </c>
      <c r="B76" s="3" t="s">
        <v>673</v>
      </c>
      <c r="C76" s="3" t="s">
        <v>24</v>
      </c>
      <c r="D76" s="3"/>
      <c r="E76" s="3" t="s">
        <v>674</v>
      </c>
      <c r="F76" s="3" t="s">
        <v>675</v>
      </c>
      <c r="G76" s="3"/>
      <c r="H76" s="3" t="s">
        <v>79</v>
      </c>
      <c r="I76" s="3"/>
      <c r="J76" s="3" t="s">
        <v>80</v>
      </c>
      <c r="K76" s="3" t="s">
        <v>81</v>
      </c>
      <c r="L76" s="3"/>
      <c r="M76" s="3" t="s">
        <v>676</v>
      </c>
      <c r="N76" s="3" t="s">
        <v>677</v>
      </c>
      <c r="O76" s="3" t="s">
        <v>32</v>
      </c>
      <c r="P76" s="3">
        <v>1</v>
      </c>
      <c r="Q76" s="3" t="s">
        <v>678</v>
      </c>
      <c r="R76" s="3" t="s">
        <v>34</v>
      </c>
      <c r="S76" s="3" t="s">
        <v>34</v>
      </c>
      <c r="T76" s="3"/>
      <c r="U76" s="16"/>
      <c r="V76" s="16"/>
      <c r="W76" s="1"/>
    </row>
    <row r="77" spans="1:23" ht="28.15" customHeight="1">
      <c r="A77" s="3" t="s">
        <v>679</v>
      </c>
      <c r="B77" s="3" t="s">
        <v>680</v>
      </c>
      <c r="C77" s="3" t="s">
        <v>24</v>
      </c>
      <c r="D77" s="3"/>
      <c r="E77" s="3" t="s">
        <v>681</v>
      </c>
      <c r="F77" s="3" t="s">
        <v>682</v>
      </c>
      <c r="G77" s="3" t="s">
        <v>683</v>
      </c>
      <c r="H77" s="3" t="s">
        <v>684</v>
      </c>
      <c r="I77" s="3"/>
      <c r="J77" s="3">
        <v>95310</v>
      </c>
      <c r="K77" s="3" t="s">
        <v>685</v>
      </c>
      <c r="L77" s="3"/>
      <c r="M77" s="3" t="s">
        <v>686</v>
      </c>
      <c r="N77" s="3" t="s">
        <v>687</v>
      </c>
      <c r="O77" s="3" t="s">
        <v>32</v>
      </c>
      <c r="P77" s="3">
        <v>1</v>
      </c>
      <c r="Q77" s="3" t="s">
        <v>688</v>
      </c>
      <c r="R77" s="3" t="s">
        <v>34</v>
      </c>
      <c r="S77" s="3" t="s">
        <v>34</v>
      </c>
      <c r="T77" s="3" t="s">
        <v>689</v>
      </c>
      <c r="U77" s="17" t="s">
        <v>690</v>
      </c>
      <c r="V77" s="17" t="s">
        <v>55</v>
      </c>
      <c r="W77" s="1" t="s">
        <v>1953</v>
      </c>
    </row>
    <row r="78" spans="1:23" ht="28.15" customHeight="1">
      <c r="A78" s="3" t="s">
        <v>691</v>
      </c>
      <c r="B78" s="3" t="s">
        <v>692</v>
      </c>
      <c r="C78" s="3" t="s">
        <v>24</v>
      </c>
      <c r="D78" s="3"/>
      <c r="E78" s="3" t="s">
        <v>361</v>
      </c>
      <c r="F78" s="3" t="s">
        <v>693</v>
      </c>
      <c r="G78" s="3"/>
      <c r="H78" s="3" t="s">
        <v>694</v>
      </c>
      <c r="I78" s="3"/>
      <c r="J78" s="3" t="s">
        <v>412</v>
      </c>
      <c r="K78" s="3" t="s">
        <v>413</v>
      </c>
      <c r="L78" s="3"/>
      <c r="M78" s="3" t="s">
        <v>695</v>
      </c>
      <c r="N78" s="3" t="s">
        <v>42</v>
      </c>
      <c r="O78" s="3" t="s">
        <v>43</v>
      </c>
      <c r="P78" s="3">
        <v>1</v>
      </c>
      <c r="Q78" s="3" t="s">
        <v>696</v>
      </c>
      <c r="R78" s="3" t="s">
        <v>34</v>
      </c>
      <c r="S78" s="3" t="s">
        <v>34</v>
      </c>
      <c r="T78" s="3"/>
      <c r="U78" s="16"/>
      <c r="V78" s="16"/>
      <c r="W78" s="1"/>
    </row>
    <row r="79" spans="1:23" ht="28.15" customHeight="1">
      <c r="A79" s="3" t="s">
        <v>697</v>
      </c>
      <c r="B79" s="3" t="s">
        <v>698</v>
      </c>
      <c r="C79" s="3" t="s">
        <v>24</v>
      </c>
      <c r="D79" s="3"/>
      <c r="E79" s="3" t="s">
        <v>699</v>
      </c>
      <c r="F79" s="3" t="s">
        <v>700</v>
      </c>
      <c r="G79" s="3"/>
      <c r="H79" s="3" t="s">
        <v>701</v>
      </c>
      <c r="I79" s="3"/>
      <c r="J79" s="3" t="s">
        <v>355</v>
      </c>
      <c r="K79" s="3" t="s">
        <v>356</v>
      </c>
      <c r="L79" s="3"/>
      <c r="M79" s="3" t="s">
        <v>702</v>
      </c>
      <c r="N79" s="3" t="s">
        <v>703</v>
      </c>
      <c r="O79" s="3" t="s">
        <v>32</v>
      </c>
      <c r="P79" s="3">
        <v>1</v>
      </c>
      <c r="Q79" s="3" t="s">
        <v>704</v>
      </c>
      <c r="R79" s="3" t="s">
        <v>34</v>
      </c>
      <c r="S79" s="3" t="s">
        <v>34</v>
      </c>
      <c r="T79" s="3"/>
      <c r="U79" s="17"/>
      <c r="V79" s="17"/>
      <c r="W79" s="1"/>
    </row>
    <row r="80" spans="1:23" ht="28.15" customHeight="1">
      <c r="A80" s="3" t="s">
        <v>705</v>
      </c>
      <c r="B80" s="3" t="s">
        <v>706</v>
      </c>
      <c r="C80" s="3" t="s">
        <v>24</v>
      </c>
      <c r="D80" s="3"/>
      <c r="E80" s="3" t="s">
        <v>707</v>
      </c>
      <c r="F80" s="3" t="s">
        <v>708</v>
      </c>
      <c r="G80" s="3"/>
      <c r="H80" s="3" t="s">
        <v>709</v>
      </c>
      <c r="I80" s="3"/>
      <c r="J80" s="3" t="s">
        <v>438</v>
      </c>
      <c r="K80" s="3" t="s">
        <v>710</v>
      </c>
      <c r="L80" s="3"/>
      <c r="M80" s="3" t="s">
        <v>711</v>
      </c>
      <c r="N80" s="3" t="s">
        <v>73</v>
      </c>
      <c r="O80" s="3" t="s">
        <v>43</v>
      </c>
      <c r="P80" s="3">
        <v>1</v>
      </c>
      <c r="Q80" s="3" t="s">
        <v>712</v>
      </c>
      <c r="R80" s="3" t="s">
        <v>34</v>
      </c>
      <c r="S80" s="3" t="s">
        <v>34</v>
      </c>
      <c r="T80" s="3"/>
      <c r="U80" s="16"/>
      <c r="V80" s="16"/>
      <c r="W80" s="1"/>
    </row>
    <row r="81" spans="1:23" ht="28.15" customHeight="1">
      <c r="A81" s="3" t="s">
        <v>713</v>
      </c>
      <c r="B81" s="3" t="s">
        <v>714</v>
      </c>
      <c r="C81" s="3" t="s">
        <v>24</v>
      </c>
      <c r="D81" s="3"/>
      <c r="E81" s="3" t="s">
        <v>715</v>
      </c>
      <c r="F81" s="3" t="s">
        <v>391</v>
      </c>
      <c r="G81" s="3"/>
      <c r="H81" s="3" t="s">
        <v>716</v>
      </c>
      <c r="I81" s="3"/>
      <c r="J81" s="3" t="s">
        <v>717</v>
      </c>
      <c r="K81" s="3" t="s">
        <v>394</v>
      </c>
      <c r="L81" s="3"/>
      <c r="M81" s="3" t="s">
        <v>718</v>
      </c>
      <c r="N81" s="3" t="s">
        <v>73</v>
      </c>
      <c r="O81" s="3" t="s">
        <v>43</v>
      </c>
      <c r="P81" s="3">
        <v>2</v>
      </c>
      <c r="Q81" s="3" t="s">
        <v>719</v>
      </c>
      <c r="R81" s="3" t="s">
        <v>34</v>
      </c>
      <c r="S81" s="3" t="s">
        <v>34</v>
      </c>
      <c r="T81" s="3"/>
      <c r="U81" s="17"/>
      <c r="V81" s="17"/>
      <c r="W81" s="1"/>
    </row>
    <row r="82" spans="1:23" ht="28.15" customHeight="1">
      <c r="A82" s="3" t="s">
        <v>720</v>
      </c>
      <c r="B82" s="3" t="s">
        <v>721</v>
      </c>
      <c r="C82" s="3" t="s">
        <v>24</v>
      </c>
      <c r="D82" s="3"/>
      <c r="E82" s="3" t="s">
        <v>722</v>
      </c>
      <c r="F82" s="3" t="s">
        <v>723</v>
      </c>
      <c r="G82" s="3"/>
      <c r="H82" s="3" t="s">
        <v>724</v>
      </c>
      <c r="I82" s="3"/>
      <c r="J82" s="3" t="s">
        <v>725</v>
      </c>
      <c r="K82" s="3" t="s">
        <v>726</v>
      </c>
      <c r="L82" s="3"/>
      <c r="M82" s="3" t="s">
        <v>727</v>
      </c>
      <c r="N82" s="3" t="s">
        <v>42</v>
      </c>
      <c r="O82" s="3" t="s">
        <v>43</v>
      </c>
      <c r="P82" s="3">
        <v>1</v>
      </c>
      <c r="Q82" s="3" t="s">
        <v>728</v>
      </c>
      <c r="R82" s="3" t="s">
        <v>34</v>
      </c>
      <c r="S82" s="3" t="s">
        <v>34</v>
      </c>
      <c r="T82" s="3"/>
      <c r="U82" s="16"/>
      <c r="V82" s="16"/>
      <c r="W82" s="1"/>
    </row>
    <row r="83" spans="1:23" ht="28.15" customHeight="1">
      <c r="A83" s="3" t="s">
        <v>729</v>
      </c>
      <c r="B83" s="3" t="s">
        <v>730</v>
      </c>
      <c r="C83" s="3" t="s">
        <v>24</v>
      </c>
      <c r="D83" s="3"/>
      <c r="E83" s="3" t="s">
        <v>731</v>
      </c>
      <c r="F83" s="3" t="s">
        <v>732</v>
      </c>
      <c r="G83" s="3"/>
      <c r="H83" s="3" t="s">
        <v>733</v>
      </c>
      <c r="I83" s="3"/>
      <c r="J83" s="3" t="s">
        <v>240</v>
      </c>
      <c r="K83" s="3" t="s">
        <v>330</v>
      </c>
      <c r="L83" s="3"/>
      <c r="M83" s="3" t="s">
        <v>734</v>
      </c>
      <c r="N83" s="3" t="s">
        <v>42</v>
      </c>
      <c r="O83" s="3" t="s">
        <v>43</v>
      </c>
      <c r="P83" s="3">
        <v>2</v>
      </c>
      <c r="Q83" s="3" t="s">
        <v>735</v>
      </c>
      <c r="R83" s="3" t="s">
        <v>34</v>
      </c>
      <c r="S83" s="3" t="s">
        <v>34</v>
      </c>
      <c r="T83" s="3"/>
      <c r="U83" s="17"/>
      <c r="V83" s="17"/>
      <c r="W83" s="1"/>
    </row>
    <row r="84" spans="1:23" ht="28.15" customHeight="1">
      <c r="A84" s="3" t="s">
        <v>736</v>
      </c>
      <c r="B84" s="3" t="s">
        <v>737</v>
      </c>
      <c r="C84" s="3" t="s">
        <v>24</v>
      </c>
      <c r="D84" s="3"/>
      <c r="E84" s="3" t="s">
        <v>738</v>
      </c>
      <c r="F84" s="3" t="s">
        <v>739</v>
      </c>
      <c r="G84" s="3"/>
      <c r="H84" s="3" t="s">
        <v>740</v>
      </c>
      <c r="I84" s="3"/>
      <c r="J84" s="3" t="s">
        <v>741</v>
      </c>
      <c r="K84" s="3" t="s">
        <v>742</v>
      </c>
      <c r="L84" s="3"/>
      <c r="M84" s="3" t="s">
        <v>743</v>
      </c>
      <c r="N84" s="3" t="s">
        <v>73</v>
      </c>
      <c r="O84" s="3" t="s">
        <v>43</v>
      </c>
      <c r="P84" s="3">
        <v>1</v>
      </c>
      <c r="Q84" s="3" t="s">
        <v>744</v>
      </c>
      <c r="R84" s="3" t="s">
        <v>34</v>
      </c>
      <c r="S84" s="3" t="s">
        <v>34</v>
      </c>
      <c r="T84" s="3"/>
      <c r="U84" s="16"/>
      <c r="V84" s="16"/>
      <c r="W84" s="1"/>
    </row>
    <row r="85" spans="1:23" ht="28.15" customHeight="1">
      <c r="A85" s="3" t="s">
        <v>745</v>
      </c>
      <c r="B85" s="3" t="s">
        <v>746</v>
      </c>
      <c r="C85" s="3" t="s">
        <v>24</v>
      </c>
      <c r="D85" s="3"/>
      <c r="E85" s="3" t="s">
        <v>747</v>
      </c>
      <c r="F85" s="3" t="s">
        <v>748</v>
      </c>
      <c r="G85" s="3"/>
      <c r="H85" s="3" t="s">
        <v>749</v>
      </c>
      <c r="I85" s="3"/>
      <c r="J85" s="3" t="s">
        <v>289</v>
      </c>
      <c r="K85" s="3" t="s">
        <v>290</v>
      </c>
      <c r="L85" s="3"/>
      <c r="M85" s="3" t="s">
        <v>750</v>
      </c>
      <c r="N85" s="3" t="s">
        <v>42</v>
      </c>
      <c r="O85" s="3" t="s">
        <v>43</v>
      </c>
      <c r="P85" s="3">
        <v>1</v>
      </c>
      <c r="Q85" s="3" t="s">
        <v>751</v>
      </c>
      <c r="R85" s="3" t="s">
        <v>34</v>
      </c>
      <c r="S85" s="3" t="s">
        <v>34</v>
      </c>
      <c r="T85" s="3"/>
      <c r="U85" s="17"/>
      <c r="V85" s="17" t="s">
        <v>152</v>
      </c>
      <c r="W85" s="1"/>
    </row>
    <row r="86" spans="1:23" ht="28.15" customHeight="1">
      <c r="A86" s="3" t="s">
        <v>752</v>
      </c>
      <c r="B86" s="3" t="s">
        <v>753</v>
      </c>
      <c r="C86" s="3" t="s">
        <v>24</v>
      </c>
      <c r="D86" s="3"/>
      <c r="E86" s="3" t="s">
        <v>754</v>
      </c>
      <c r="F86" s="3" t="s">
        <v>755</v>
      </c>
      <c r="G86" s="3"/>
      <c r="H86" s="3" t="s">
        <v>756</v>
      </c>
      <c r="I86" s="3"/>
      <c r="J86" s="3" t="s">
        <v>757</v>
      </c>
      <c r="K86" s="3" t="s">
        <v>758</v>
      </c>
      <c r="L86" s="3"/>
      <c r="M86" s="3" t="s">
        <v>759</v>
      </c>
      <c r="N86" s="3" t="s">
        <v>73</v>
      </c>
      <c r="O86" s="3" t="s">
        <v>43</v>
      </c>
      <c r="P86" s="3">
        <v>1</v>
      </c>
      <c r="Q86" s="3" t="s">
        <v>760</v>
      </c>
      <c r="R86" s="3" t="s">
        <v>34</v>
      </c>
      <c r="S86" s="3" t="s">
        <v>34</v>
      </c>
      <c r="T86" s="3"/>
      <c r="U86" s="16"/>
      <c r="V86" s="16" t="s">
        <v>152</v>
      </c>
      <c r="W86" s="1"/>
    </row>
    <row r="87" spans="1:23" ht="28.15" customHeight="1">
      <c r="A87" s="3" t="s">
        <v>761</v>
      </c>
      <c r="B87" s="3" t="s">
        <v>762</v>
      </c>
      <c r="C87" s="3" t="s">
        <v>24</v>
      </c>
      <c r="D87" s="3"/>
      <c r="E87" s="3" t="s">
        <v>763</v>
      </c>
      <c r="F87" s="3" t="s">
        <v>764</v>
      </c>
      <c r="G87" s="3"/>
      <c r="H87" s="3" t="s">
        <v>765</v>
      </c>
      <c r="I87" s="3"/>
      <c r="J87" s="3" t="s">
        <v>28</v>
      </c>
      <c r="K87" s="3" t="s">
        <v>766</v>
      </c>
      <c r="L87" s="3"/>
      <c r="M87" s="3" t="s">
        <v>767</v>
      </c>
      <c r="N87" s="3" t="s">
        <v>130</v>
      </c>
      <c r="O87" s="3" t="s">
        <v>43</v>
      </c>
      <c r="P87" s="3">
        <v>2</v>
      </c>
      <c r="Q87" s="3" t="s">
        <v>768</v>
      </c>
      <c r="R87" s="3" t="s">
        <v>34</v>
      </c>
      <c r="S87" s="3" t="s">
        <v>34</v>
      </c>
      <c r="T87" s="3"/>
      <c r="U87" s="17"/>
      <c r="V87" s="17"/>
      <c r="W87" s="1"/>
    </row>
    <row r="88" spans="1:23" ht="28.15" customHeight="1">
      <c r="A88" s="3" t="s">
        <v>769</v>
      </c>
      <c r="B88" s="3" t="s">
        <v>770</v>
      </c>
      <c r="C88" s="3" t="s">
        <v>24</v>
      </c>
      <c r="D88" s="3"/>
      <c r="E88" s="3" t="s">
        <v>771</v>
      </c>
      <c r="F88" s="3" t="s">
        <v>772</v>
      </c>
      <c r="G88" s="3"/>
      <c r="H88" s="3" t="s">
        <v>773</v>
      </c>
      <c r="I88" s="3"/>
      <c r="J88" s="3" t="s">
        <v>548</v>
      </c>
      <c r="K88" s="3" t="s">
        <v>774</v>
      </c>
      <c r="L88" s="3"/>
      <c r="M88" s="3" t="s">
        <v>775</v>
      </c>
      <c r="N88" s="3" t="s">
        <v>73</v>
      </c>
      <c r="O88" s="3" t="s">
        <v>43</v>
      </c>
      <c r="P88" s="3">
        <v>1</v>
      </c>
      <c r="Q88" s="3" t="s">
        <v>776</v>
      </c>
      <c r="R88" s="3" t="s">
        <v>34</v>
      </c>
      <c r="S88" s="3" t="s">
        <v>34</v>
      </c>
      <c r="T88" s="3"/>
      <c r="U88" s="16"/>
      <c r="V88" s="16"/>
      <c r="W88" s="1"/>
    </row>
    <row r="89" spans="1:23" ht="28.15" customHeight="1">
      <c r="A89" s="3" t="s">
        <v>777</v>
      </c>
      <c r="B89" s="3" t="s">
        <v>778</v>
      </c>
      <c r="C89" s="3" t="s">
        <v>24</v>
      </c>
      <c r="D89" s="3"/>
      <c r="E89" s="3" t="s">
        <v>771</v>
      </c>
      <c r="F89" s="3" t="s">
        <v>779</v>
      </c>
      <c r="G89" s="3"/>
      <c r="H89" s="3" t="s">
        <v>780</v>
      </c>
      <c r="I89" s="3"/>
      <c r="J89" s="3" t="s">
        <v>80</v>
      </c>
      <c r="K89" s="3" t="s">
        <v>81</v>
      </c>
      <c r="L89" s="3"/>
      <c r="M89" s="3" t="s">
        <v>781</v>
      </c>
      <c r="N89" s="3" t="s">
        <v>782</v>
      </c>
      <c r="O89" s="3" t="s">
        <v>32</v>
      </c>
      <c r="P89" s="3">
        <v>1</v>
      </c>
      <c r="Q89" s="3" t="s">
        <v>783</v>
      </c>
      <c r="R89" s="3" t="s">
        <v>34</v>
      </c>
      <c r="S89" s="3" t="s">
        <v>34</v>
      </c>
      <c r="T89" s="3"/>
      <c r="U89" s="17"/>
      <c r="V89" s="17"/>
      <c r="W89" s="1"/>
    </row>
    <row r="90" spans="1:23" ht="28.15" customHeight="1">
      <c r="A90" s="3" t="s">
        <v>784</v>
      </c>
      <c r="B90" s="3" t="s">
        <v>785</v>
      </c>
      <c r="C90" s="3" t="s">
        <v>24</v>
      </c>
      <c r="D90" s="3"/>
      <c r="E90" s="3" t="s">
        <v>786</v>
      </c>
      <c r="F90" s="3" t="s">
        <v>787</v>
      </c>
      <c r="G90" s="3"/>
      <c r="H90" s="3" t="s">
        <v>788</v>
      </c>
      <c r="I90" s="3"/>
      <c r="J90" s="3" t="s">
        <v>789</v>
      </c>
      <c r="K90" s="3" t="s">
        <v>790</v>
      </c>
      <c r="L90" s="3"/>
      <c r="M90" s="3" t="s">
        <v>791</v>
      </c>
      <c r="N90" s="3" t="s">
        <v>73</v>
      </c>
      <c r="O90" s="3" t="s">
        <v>43</v>
      </c>
      <c r="P90" s="3">
        <v>1</v>
      </c>
      <c r="Q90" s="3" t="s">
        <v>792</v>
      </c>
      <c r="R90" s="3" t="s">
        <v>34</v>
      </c>
      <c r="S90" s="3" t="s">
        <v>34</v>
      </c>
      <c r="T90" s="3"/>
      <c r="U90" s="16"/>
      <c r="V90" s="16"/>
      <c r="W90" s="1"/>
    </row>
    <row r="91" spans="1:23" ht="28.15" customHeight="1">
      <c r="A91" s="3" t="s">
        <v>793</v>
      </c>
      <c r="B91" s="3" t="s">
        <v>794</v>
      </c>
      <c r="C91" s="3" t="s">
        <v>24</v>
      </c>
      <c r="D91" s="3"/>
      <c r="E91" s="3" t="s">
        <v>795</v>
      </c>
      <c r="F91" s="3" t="s">
        <v>796</v>
      </c>
      <c r="G91" s="3"/>
      <c r="H91" s="3" t="s">
        <v>797</v>
      </c>
      <c r="I91" s="3"/>
      <c r="J91" s="3" t="s">
        <v>798</v>
      </c>
      <c r="K91" s="3" t="s">
        <v>799</v>
      </c>
      <c r="L91" s="3"/>
      <c r="M91" s="3" t="s">
        <v>800</v>
      </c>
      <c r="N91" s="3" t="s">
        <v>73</v>
      </c>
      <c r="O91" s="3" t="s">
        <v>43</v>
      </c>
      <c r="P91" s="3">
        <v>1</v>
      </c>
      <c r="Q91" s="3" t="s">
        <v>801</v>
      </c>
      <c r="R91" s="3" t="s">
        <v>34</v>
      </c>
      <c r="S91" s="3" t="s">
        <v>34</v>
      </c>
      <c r="T91" s="3"/>
      <c r="U91" s="17"/>
      <c r="V91" s="17"/>
      <c r="W91" s="1"/>
    </row>
    <row r="92" spans="1:23" ht="28.15" customHeight="1">
      <c r="A92" s="3" t="s">
        <v>802</v>
      </c>
      <c r="B92" s="3" t="s">
        <v>803</v>
      </c>
      <c r="C92" s="3" t="s">
        <v>24</v>
      </c>
      <c r="D92" s="3"/>
      <c r="E92" s="3" t="s">
        <v>804</v>
      </c>
      <c r="F92" s="3" t="s">
        <v>805</v>
      </c>
      <c r="G92" s="3"/>
      <c r="H92" s="3" t="s">
        <v>806</v>
      </c>
      <c r="I92" s="3"/>
      <c r="J92" s="3" t="s">
        <v>807</v>
      </c>
      <c r="K92" s="3" t="s">
        <v>808</v>
      </c>
      <c r="L92" s="3"/>
      <c r="M92" s="3" t="s">
        <v>809</v>
      </c>
      <c r="N92" s="3" t="s">
        <v>73</v>
      </c>
      <c r="O92" s="3" t="s">
        <v>43</v>
      </c>
      <c r="P92" s="3">
        <v>1</v>
      </c>
      <c r="Q92" s="3" t="s">
        <v>810</v>
      </c>
      <c r="R92" s="3" t="s">
        <v>34</v>
      </c>
      <c r="S92" s="3" t="s">
        <v>34</v>
      </c>
      <c r="T92" s="3"/>
      <c r="U92" s="16"/>
      <c r="V92" s="16" t="s">
        <v>152</v>
      </c>
      <c r="W92" s="1"/>
    </row>
    <row r="93" spans="1:23" ht="28.15" customHeight="1">
      <c r="A93" s="3" t="s">
        <v>811</v>
      </c>
      <c r="B93" s="3" t="s">
        <v>812</v>
      </c>
      <c r="C93" s="3" t="s">
        <v>24</v>
      </c>
      <c r="D93" s="3"/>
      <c r="E93" s="3" t="s">
        <v>674</v>
      </c>
      <c r="F93" s="3" t="s">
        <v>813</v>
      </c>
      <c r="G93" s="3"/>
      <c r="H93" s="3" t="s">
        <v>608</v>
      </c>
      <c r="I93" s="3"/>
      <c r="J93" s="3">
        <v>95260</v>
      </c>
      <c r="K93" s="3" t="s">
        <v>99</v>
      </c>
      <c r="L93" s="3"/>
      <c r="M93" s="3" t="s">
        <v>814</v>
      </c>
      <c r="N93" s="3" t="s">
        <v>677</v>
      </c>
      <c r="O93" s="3" t="s">
        <v>32</v>
      </c>
      <c r="P93" s="3">
        <v>1</v>
      </c>
      <c r="Q93" s="3" t="s">
        <v>815</v>
      </c>
      <c r="R93" s="3" t="s">
        <v>34</v>
      </c>
      <c r="S93" s="3" t="s">
        <v>34</v>
      </c>
      <c r="T93" s="3" t="s">
        <v>102</v>
      </c>
      <c r="U93" s="17" t="s">
        <v>816</v>
      </c>
      <c r="V93" s="17" t="s">
        <v>55</v>
      </c>
      <c r="W93" s="1"/>
    </row>
    <row r="94" spans="1:23" ht="28.15" customHeight="1">
      <c r="A94" s="3" t="s">
        <v>817</v>
      </c>
      <c r="B94" s="3" t="s">
        <v>818</v>
      </c>
      <c r="C94" s="3" t="s">
        <v>24</v>
      </c>
      <c r="D94" s="3"/>
      <c r="E94" s="3" t="s">
        <v>819</v>
      </c>
      <c r="F94" s="3" t="s">
        <v>820</v>
      </c>
      <c r="G94" s="3"/>
      <c r="H94" s="3" t="s">
        <v>821</v>
      </c>
      <c r="I94" s="3"/>
      <c r="J94" s="3" t="s">
        <v>28</v>
      </c>
      <c r="K94" s="3" t="s">
        <v>29</v>
      </c>
      <c r="L94" s="3"/>
      <c r="M94" s="3" t="s">
        <v>822</v>
      </c>
      <c r="N94" s="3" t="s">
        <v>73</v>
      </c>
      <c r="O94" s="3" t="s">
        <v>43</v>
      </c>
      <c r="P94" s="3">
        <v>1</v>
      </c>
      <c r="Q94" s="3" t="s">
        <v>823</v>
      </c>
      <c r="R94" s="3" t="s">
        <v>34</v>
      </c>
      <c r="S94" s="3" t="s">
        <v>34</v>
      </c>
      <c r="T94" s="3"/>
      <c r="U94" s="16"/>
      <c r="V94" s="16"/>
      <c r="W94" s="1"/>
    </row>
    <row r="95" spans="1:23" ht="28.15" customHeight="1">
      <c r="A95" s="3" t="s">
        <v>824</v>
      </c>
      <c r="B95" s="3" t="s">
        <v>825</v>
      </c>
      <c r="C95" s="3" t="s">
        <v>24</v>
      </c>
      <c r="D95" s="3"/>
      <c r="E95" s="3" t="s">
        <v>826</v>
      </c>
      <c r="F95" s="3" t="s">
        <v>827</v>
      </c>
      <c r="G95" s="3"/>
      <c r="H95" s="3" t="s">
        <v>828</v>
      </c>
      <c r="I95" s="3"/>
      <c r="J95" s="3" t="s">
        <v>513</v>
      </c>
      <c r="K95" s="3" t="s">
        <v>829</v>
      </c>
      <c r="L95" s="3"/>
      <c r="M95" s="3" t="s">
        <v>830</v>
      </c>
      <c r="N95" s="3" t="s">
        <v>73</v>
      </c>
      <c r="O95" s="3" t="s">
        <v>43</v>
      </c>
      <c r="P95" s="3">
        <v>1</v>
      </c>
      <c r="Q95" s="3" t="s">
        <v>831</v>
      </c>
      <c r="R95" s="3" t="s">
        <v>34</v>
      </c>
      <c r="S95" s="3" t="s">
        <v>34</v>
      </c>
      <c r="T95" s="3"/>
      <c r="U95" s="17"/>
      <c r="V95" s="17"/>
      <c r="W95" s="1"/>
    </row>
    <row r="96" spans="1:23" ht="28.15" customHeight="1">
      <c r="A96" s="3" t="s">
        <v>832</v>
      </c>
      <c r="B96" s="3" t="s">
        <v>833</v>
      </c>
      <c r="C96" s="3" t="s">
        <v>24</v>
      </c>
      <c r="D96" s="3"/>
      <c r="E96" s="3" t="s">
        <v>826</v>
      </c>
      <c r="F96" s="3" t="s">
        <v>834</v>
      </c>
      <c r="G96" s="3" t="s">
        <v>835</v>
      </c>
      <c r="H96" s="3" t="s">
        <v>836</v>
      </c>
      <c r="I96" s="3"/>
      <c r="J96" s="3">
        <v>95350</v>
      </c>
      <c r="K96" s="3" t="s">
        <v>330</v>
      </c>
      <c r="L96" s="3"/>
      <c r="M96" s="3" t="s">
        <v>837</v>
      </c>
      <c r="N96" s="3" t="s">
        <v>838</v>
      </c>
      <c r="O96" s="3" t="s">
        <v>43</v>
      </c>
      <c r="P96" s="3">
        <v>1</v>
      </c>
      <c r="Q96" s="3" t="s">
        <v>839</v>
      </c>
      <c r="R96" s="3" t="s">
        <v>34</v>
      </c>
      <c r="S96" s="3" t="s">
        <v>34</v>
      </c>
      <c r="T96" s="3"/>
      <c r="U96" s="16" t="s">
        <v>840</v>
      </c>
      <c r="V96" s="16" t="s">
        <v>55</v>
      </c>
      <c r="W96" s="1" t="s">
        <v>1954</v>
      </c>
    </row>
    <row r="97" spans="1:23" ht="28.15" customHeight="1">
      <c r="A97" s="3" t="s">
        <v>841</v>
      </c>
      <c r="B97" s="3" t="s">
        <v>842</v>
      </c>
      <c r="C97" s="3" t="s">
        <v>24</v>
      </c>
      <c r="D97" s="3"/>
      <c r="E97" s="3" t="s">
        <v>843</v>
      </c>
      <c r="F97" s="3" t="s">
        <v>844</v>
      </c>
      <c r="G97" s="3"/>
      <c r="H97" s="3" t="s">
        <v>845</v>
      </c>
      <c r="I97" s="3"/>
      <c r="J97" s="3" t="s">
        <v>203</v>
      </c>
      <c r="K97" s="3" t="s">
        <v>204</v>
      </c>
      <c r="L97" s="3"/>
      <c r="M97" s="3" t="s">
        <v>846</v>
      </c>
      <c r="N97" s="3" t="s">
        <v>73</v>
      </c>
      <c r="O97" s="3" t="s">
        <v>43</v>
      </c>
      <c r="P97" s="3">
        <v>1</v>
      </c>
      <c r="Q97" s="3" t="s">
        <v>847</v>
      </c>
      <c r="R97" s="3" t="s">
        <v>34</v>
      </c>
      <c r="S97" s="3" t="s">
        <v>34</v>
      </c>
      <c r="T97" s="3"/>
      <c r="U97" s="17"/>
      <c r="V97" s="17"/>
      <c r="W97" s="1"/>
    </row>
    <row r="98" spans="1:23" ht="28.15" customHeight="1">
      <c r="A98" s="3" t="s">
        <v>848</v>
      </c>
      <c r="B98" s="3" t="s">
        <v>849</v>
      </c>
      <c r="C98" s="3" t="s">
        <v>24</v>
      </c>
      <c r="D98" s="3"/>
      <c r="E98" s="3" t="s">
        <v>850</v>
      </c>
      <c r="F98" s="3" t="s">
        <v>851</v>
      </c>
      <c r="G98" s="3"/>
      <c r="H98" s="3" t="s">
        <v>852</v>
      </c>
      <c r="I98" s="3"/>
      <c r="J98" s="3" t="s">
        <v>573</v>
      </c>
      <c r="K98" s="3" t="s">
        <v>574</v>
      </c>
      <c r="L98" s="3"/>
      <c r="M98" s="3" t="s">
        <v>853</v>
      </c>
      <c r="N98" s="3" t="s">
        <v>42</v>
      </c>
      <c r="O98" s="3" t="s">
        <v>43</v>
      </c>
      <c r="P98" s="3">
        <v>1</v>
      </c>
      <c r="Q98" s="3" t="s">
        <v>854</v>
      </c>
      <c r="R98" s="3" t="s">
        <v>34</v>
      </c>
      <c r="S98" s="3" t="s">
        <v>34</v>
      </c>
      <c r="T98" s="3"/>
      <c r="U98" s="16"/>
      <c r="V98" s="16"/>
      <c r="W98" s="1"/>
    </row>
    <row r="99" spans="1:23" ht="28.15" customHeight="1">
      <c r="A99" s="3" t="s">
        <v>855</v>
      </c>
      <c r="B99" s="3" t="s">
        <v>856</v>
      </c>
      <c r="C99" s="3" t="s">
        <v>24</v>
      </c>
      <c r="D99" s="3"/>
      <c r="E99" s="3" t="s">
        <v>857</v>
      </c>
      <c r="F99" s="3" t="s">
        <v>858</v>
      </c>
      <c r="G99" s="3"/>
      <c r="H99" s="3" t="s">
        <v>859</v>
      </c>
      <c r="I99" s="3"/>
      <c r="J99" s="3" t="s">
        <v>860</v>
      </c>
      <c r="K99" s="3" t="s">
        <v>861</v>
      </c>
      <c r="L99" s="3"/>
      <c r="M99" s="3" t="s">
        <v>862</v>
      </c>
      <c r="N99" s="3" t="s">
        <v>73</v>
      </c>
      <c r="O99" s="3" t="s">
        <v>43</v>
      </c>
      <c r="P99" s="3">
        <v>1</v>
      </c>
      <c r="Q99" s="3" t="s">
        <v>863</v>
      </c>
      <c r="R99" s="3" t="s">
        <v>34</v>
      </c>
      <c r="S99" s="3" t="s">
        <v>34</v>
      </c>
      <c r="T99" s="3"/>
      <c r="U99" s="17"/>
      <c r="V99" s="17"/>
      <c r="W99" s="1"/>
    </row>
    <row r="100" spans="1:23" ht="28.15" customHeight="1">
      <c r="A100" s="3" t="s">
        <v>864</v>
      </c>
      <c r="B100" s="3" t="s">
        <v>865</v>
      </c>
      <c r="C100" s="3" t="s">
        <v>24</v>
      </c>
      <c r="D100" s="3"/>
      <c r="E100" s="3" t="s">
        <v>866</v>
      </c>
      <c r="F100" s="3" t="s">
        <v>867</v>
      </c>
      <c r="G100" s="3"/>
      <c r="H100" s="3" t="s">
        <v>668</v>
      </c>
      <c r="I100" s="3"/>
      <c r="J100" s="3" t="s">
        <v>174</v>
      </c>
      <c r="K100" s="3" t="s">
        <v>868</v>
      </c>
      <c r="L100" s="3"/>
      <c r="M100" s="3" t="s">
        <v>869</v>
      </c>
      <c r="N100" s="3" t="s">
        <v>31</v>
      </c>
      <c r="O100" s="3" t="s">
        <v>43</v>
      </c>
      <c r="P100" s="3">
        <v>1</v>
      </c>
      <c r="Q100" s="3" t="s">
        <v>870</v>
      </c>
      <c r="R100" s="3" t="s">
        <v>34</v>
      </c>
      <c r="S100" s="3" t="s">
        <v>34</v>
      </c>
      <c r="T100" s="3"/>
      <c r="U100" s="16"/>
      <c r="V100" s="16"/>
      <c r="W100" s="1"/>
    </row>
    <row r="101" spans="1:23" ht="28.15" customHeight="1">
      <c r="A101" s="3" t="s">
        <v>871</v>
      </c>
      <c r="B101" s="3" t="s">
        <v>872</v>
      </c>
      <c r="C101" s="3" t="s">
        <v>24</v>
      </c>
      <c r="D101" s="3"/>
      <c r="E101" s="3" t="s">
        <v>873</v>
      </c>
      <c r="F101" s="3" t="s">
        <v>874</v>
      </c>
      <c r="G101" s="3"/>
      <c r="H101" s="3" t="s">
        <v>875</v>
      </c>
      <c r="I101" s="3" t="s">
        <v>876</v>
      </c>
      <c r="J101" s="3" t="s">
        <v>877</v>
      </c>
      <c r="K101" s="3" t="s">
        <v>878</v>
      </c>
      <c r="L101" s="3"/>
      <c r="M101" s="3" t="s">
        <v>879</v>
      </c>
      <c r="N101" s="3" t="s">
        <v>42</v>
      </c>
      <c r="O101" s="3" t="s">
        <v>43</v>
      </c>
      <c r="P101" s="3">
        <v>1</v>
      </c>
      <c r="Q101" s="3" t="s">
        <v>880</v>
      </c>
      <c r="R101" s="3" t="s">
        <v>34</v>
      </c>
      <c r="S101" s="3" t="s">
        <v>34</v>
      </c>
      <c r="T101" s="3"/>
      <c r="U101" s="17"/>
      <c r="V101" s="17"/>
      <c r="W101" s="1"/>
    </row>
    <row r="102" spans="1:23" ht="28.15" customHeight="1">
      <c r="A102" s="3" t="s">
        <v>881</v>
      </c>
      <c r="B102" s="3" t="s">
        <v>882</v>
      </c>
      <c r="C102" s="3" t="s">
        <v>24</v>
      </c>
      <c r="D102" s="3"/>
      <c r="E102" s="3" t="s">
        <v>261</v>
      </c>
      <c r="F102" s="3" t="s">
        <v>883</v>
      </c>
      <c r="G102" s="3"/>
      <c r="H102" s="3" t="s">
        <v>884</v>
      </c>
      <c r="I102" s="3"/>
      <c r="J102" s="3" t="s">
        <v>231</v>
      </c>
      <c r="K102" s="3" t="s">
        <v>885</v>
      </c>
      <c r="L102" s="3"/>
      <c r="M102" s="3" t="s">
        <v>886</v>
      </c>
      <c r="N102" s="3" t="s">
        <v>73</v>
      </c>
      <c r="O102" s="3" t="s">
        <v>43</v>
      </c>
      <c r="P102" s="3">
        <v>1</v>
      </c>
      <c r="Q102" s="3" t="s">
        <v>887</v>
      </c>
      <c r="R102" s="3" t="s">
        <v>34</v>
      </c>
      <c r="S102" s="3" t="s">
        <v>34</v>
      </c>
      <c r="T102" s="3"/>
      <c r="U102" s="16"/>
      <c r="V102" s="16"/>
      <c r="W102" s="1"/>
    </row>
    <row r="103" spans="1:23" ht="28.15" customHeight="1">
      <c r="A103" s="3" t="s">
        <v>888</v>
      </c>
      <c r="B103" s="3" t="s">
        <v>889</v>
      </c>
      <c r="C103" s="3" t="s">
        <v>24</v>
      </c>
      <c r="D103" s="3"/>
      <c r="E103" s="3" t="s">
        <v>890</v>
      </c>
      <c r="F103" s="3" t="s">
        <v>891</v>
      </c>
      <c r="G103" s="3"/>
      <c r="H103" s="3" t="s">
        <v>892</v>
      </c>
      <c r="I103" s="3"/>
      <c r="J103" s="3" t="s">
        <v>222</v>
      </c>
      <c r="K103" s="3" t="s">
        <v>223</v>
      </c>
      <c r="L103" s="3"/>
      <c r="M103" s="3" t="s">
        <v>893</v>
      </c>
      <c r="N103" s="3" t="s">
        <v>894</v>
      </c>
      <c r="O103" s="3" t="s">
        <v>32</v>
      </c>
      <c r="P103" s="3">
        <v>1</v>
      </c>
      <c r="Q103" s="3" t="s">
        <v>895</v>
      </c>
      <c r="R103" s="3" t="s">
        <v>34</v>
      </c>
      <c r="S103" s="3" t="s">
        <v>34</v>
      </c>
      <c r="T103" s="3"/>
      <c r="U103" s="17"/>
      <c r="V103" s="17"/>
      <c r="W103" s="1"/>
    </row>
    <row r="104" spans="1:23" ht="28.15" customHeight="1">
      <c r="A104" s="3" t="s">
        <v>896</v>
      </c>
      <c r="B104" s="3" t="s">
        <v>897</v>
      </c>
      <c r="C104" s="3" t="s">
        <v>24</v>
      </c>
      <c r="D104" s="3"/>
      <c r="E104" s="3" t="s">
        <v>898</v>
      </c>
      <c r="F104" s="3" t="s">
        <v>899</v>
      </c>
      <c r="G104" s="3"/>
      <c r="H104" s="3" t="s">
        <v>900</v>
      </c>
      <c r="I104" s="3"/>
      <c r="J104" s="3" t="s">
        <v>901</v>
      </c>
      <c r="K104" s="3" t="s">
        <v>902</v>
      </c>
      <c r="L104" s="3"/>
      <c r="M104" s="3" t="s">
        <v>903</v>
      </c>
      <c r="N104" s="3" t="s">
        <v>42</v>
      </c>
      <c r="O104" s="3" t="s">
        <v>43</v>
      </c>
      <c r="P104" s="3">
        <v>1</v>
      </c>
      <c r="Q104" s="3" t="s">
        <v>904</v>
      </c>
      <c r="R104" s="3" t="s">
        <v>34</v>
      </c>
      <c r="S104" s="3" t="s">
        <v>34</v>
      </c>
      <c r="T104" s="3"/>
      <c r="U104" s="16"/>
      <c r="V104" s="16"/>
      <c r="W104" s="1"/>
    </row>
    <row r="105" spans="1:23" ht="28.15" customHeight="1">
      <c r="A105" s="3" t="s">
        <v>905</v>
      </c>
      <c r="B105" s="3" t="s">
        <v>906</v>
      </c>
      <c r="C105" s="3" t="s">
        <v>24</v>
      </c>
      <c r="D105" s="3"/>
      <c r="E105" s="3" t="s">
        <v>907</v>
      </c>
      <c r="F105" s="3" t="s">
        <v>890</v>
      </c>
      <c r="G105" s="3"/>
      <c r="H105" s="3" t="s">
        <v>908</v>
      </c>
      <c r="I105" s="3"/>
      <c r="J105" s="3" t="s">
        <v>909</v>
      </c>
      <c r="K105" s="3" t="s">
        <v>910</v>
      </c>
      <c r="L105" s="3"/>
      <c r="M105" s="3" t="s">
        <v>911</v>
      </c>
      <c r="N105" s="3" t="s">
        <v>42</v>
      </c>
      <c r="O105" s="3" t="s">
        <v>43</v>
      </c>
      <c r="P105" s="3">
        <v>1</v>
      </c>
      <c r="Q105" s="3" t="s">
        <v>912</v>
      </c>
      <c r="R105" s="3" t="s">
        <v>34</v>
      </c>
      <c r="S105" s="3" t="s">
        <v>34</v>
      </c>
      <c r="T105" s="3"/>
      <c r="U105" s="17"/>
      <c r="V105" s="17"/>
      <c r="W105" s="1"/>
    </row>
    <row r="106" spans="1:23" ht="28.15" customHeight="1">
      <c r="A106" s="3" t="s">
        <v>913</v>
      </c>
      <c r="B106" s="3" t="s">
        <v>914</v>
      </c>
      <c r="C106" s="3" t="s">
        <v>24</v>
      </c>
      <c r="D106" s="3"/>
      <c r="E106" s="3" t="s">
        <v>915</v>
      </c>
      <c r="F106" s="3" t="s">
        <v>916</v>
      </c>
      <c r="G106" s="3"/>
      <c r="H106" s="3" t="s">
        <v>917</v>
      </c>
      <c r="I106" s="3"/>
      <c r="J106" s="3" t="s">
        <v>918</v>
      </c>
      <c r="K106" s="3" t="s">
        <v>919</v>
      </c>
      <c r="L106" s="3"/>
      <c r="M106" s="3" t="s">
        <v>920</v>
      </c>
      <c r="N106" s="3" t="s">
        <v>42</v>
      </c>
      <c r="O106" s="3" t="s">
        <v>43</v>
      </c>
      <c r="P106" s="3">
        <v>1</v>
      </c>
      <c r="Q106" s="3" t="s">
        <v>921</v>
      </c>
      <c r="R106" s="3" t="s">
        <v>34</v>
      </c>
      <c r="S106" s="3" t="s">
        <v>34</v>
      </c>
      <c r="T106" s="3"/>
      <c r="U106" s="16"/>
      <c r="V106" s="16"/>
      <c r="W106" s="1"/>
    </row>
    <row r="107" spans="1:23" ht="28.15" customHeight="1">
      <c r="A107" s="3" t="s">
        <v>922</v>
      </c>
      <c r="B107" s="3" t="s">
        <v>923</v>
      </c>
      <c r="C107" s="3" t="s">
        <v>24</v>
      </c>
      <c r="D107" s="3"/>
      <c r="E107" s="3" t="s">
        <v>924</v>
      </c>
      <c r="F107" s="3" t="s">
        <v>925</v>
      </c>
      <c r="G107" s="3"/>
      <c r="H107" s="3" t="s">
        <v>926</v>
      </c>
      <c r="I107" s="3"/>
      <c r="J107" s="3" t="s">
        <v>927</v>
      </c>
      <c r="K107" s="3" t="s">
        <v>928</v>
      </c>
      <c r="L107" s="3"/>
      <c r="M107" s="3" t="s">
        <v>929</v>
      </c>
      <c r="N107" s="3" t="s">
        <v>31</v>
      </c>
      <c r="O107" s="3" t="s">
        <v>43</v>
      </c>
      <c r="P107" s="3">
        <v>1</v>
      </c>
      <c r="Q107" s="3" t="s">
        <v>930</v>
      </c>
      <c r="R107" s="3" t="s">
        <v>34</v>
      </c>
      <c r="S107" s="3" t="s">
        <v>34</v>
      </c>
      <c r="T107" s="3"/>
      <c r="U107" s="17"/>
      <c r="V107" s="17"/>
      <c r="W107" s="1"/>
    </row>
    <row r="108" spans="1:23" ht="28.15" customHeight="1">
      <c r="A108" s="3" t="s">
        <v>931</v>
      </c>
      <c r="B108" s="3" t="s">
        <v>932</v>
      </c>
      <c r="C108" s="3" t="s">
        <v>24</v>
      </c>
      <c r="D108" s="3"/>
      <c r="E108" s="3" t="s">
        <v>924</v>
      </c>
      <c r="F108" s="3" t="s">
        <v>933</v>
      </c>
      <c r="G108" s="3"/>
      <c r="H108" s="3" t="s">
        <v>221</v>
      </c>
      <c r="I108" s="3"/>
      <c r="J108" s="3" t="s">
        <v>222</v>
      </c>
      <c r="K108" s="3" t="s">
        <v>223</v>
      </c>
      <c r="L108" s="3"/>
      <c r="M108" s="3" t="s">
        <v>934</v>
      </c>
      <c r="N108" s="3" t="s">
        <v>31</v>
      </c>
      <c r="O108" s="3" t="s">
        <v>43</v>
      </c>
      <c r="P108" s="3">
        <v>1</v>
      </c>
      <c r="Q108" s="3" t="s">
        <v>935</v>
      </c>
      <c r="R108" s="3" t="s">
        <v>34</v>
      </c>
      <c r="S108" s="3" t="s">
        <v>34</v>
      </c>
      <c r="T108" s="3"/>
      <c r="U108" s="16"/>
      <c r="V108" s="16"/>
      <c r="W108" s="1"/>
    </row>
    <row r="109" spans="1:23" ht="28.15" customHeight="1">
      <c r="A109" s="3" t="s">
        <v>936</v>
      </c>
      <c r="B109" s="3" t="s">
        <v>937</v>
      </c>
      <c r="C109" s="3" t="s">
        <v>24</v>
      </c>
      <c r="D109" s="3"/>
      <c r="E109" s="3" t="s">
        <v>938</v>
      </c>
      <c r="F109" s="3" t="s">
        <v>939</v>
      </c>
      <c r="G109" s="3"/>
      <c r="H109" s="3" t="s">
        <v>940</v>
      </c>
      <c r="I109" s="3"/>
      <c r="J109" s="3" t="s">
        <v>941</v>
      </c>
      <c r="K109" s="3" t="s">
        <v>878</v>
      </c>
      <c r="L109" s="3"/>
      <c r="M109" s="3" t="s">
        <v>942</v>
      </c>
      <c r="N109" s="3" t="s">
        <v>42</v>
      </c>
      <c r="O109" s="3" t="s">
        <v>43</v>
      </c>
      <c r="P109" s="3">
        <v>1</v>
      </c>
      <c r="Q109" s="3" t="s">
        <v>943</v>
      </c>
      <c r="R109" s="3" t="s">
        <v>34</v>
      </c>
      <c r="S109" s="3" t="s">
        <v>34</v>
      </c>
      <c r="T109" s="3"/>
      <c r="U109" s="17"/>
      <c r="V109" s="17"/>
      <c r="W109" s="1"/>
    </row>
    <row r="110" spans="1:23" ht="28.15" customHeight="1">
      <c r="A110" s="3" t="s">
        <v>944</v>
      </c>
      <c r="B110" s="3" t="s">
        <v>945</v>
      </c>
      <c r="C110" s="3" t="s">
        <v>24</v>
      </c>
      <c r="D110" s="3"/>
      <c r="E110" s="3" t="s">
        <v>946</v>
      </c>
      <c r="F110" s="3" t="s">
        <v>947</v>
      </c>
      <c r="G110" s="3"/>
      <c r="H110" s="3" t="s">
        <v>948</v>
      </c>
      <c r="I110" s="3"/>
      <c r="J110" s="3" t="s">
        <v>174</v>
      </c>
      <c r="K110" s="3" t="s">
        <v>557</v>
      </c>
      <c r="L110" s="3"/>
      <c r="M110" s="3" t="s">
        <v>949</v>
      </c>
      <c r="N110" s="3" t="s">
        <v>130</v>
      </c>
      <c r="O110" s="3" t="s">
        <v>43</v>
      </c>
      <c r="P110" s="3">
        <v>2</v>
      </c>
      <c r="Q110" s="3" t="s">
        <v>950</v>
      </c>
      <c r="R110" s="3" t="s">
        <v>34</v>
      </c>
      <c r="S110" s="3" t="s">
        <v>34</v>
      </c>
      <c r="T110" s="3"/>
      <c r="U110" s="16"/>
      <c r="V110" s="16"/>
      <c r="W110" s="1"/>
    </row>
    <row r="111" spans="1:23" ht="28.15" customHeight="1">
      <c r="A111" s="3" t="s">
        <v>951</v>
      </c>
      <c r="B111" s="3" t="s">
        <v>952</v>
      </c>
      <c r="C111" s="3" t="s">
        <v>24</v>
      </c>
      <c r="D111" s="3"/>
      <c r="E111" s="3" t="s">
        <v>953</v>
      </c>
      <c r="F111" s="3" t="s">
        <v>954</v>
      </c>
      <c r="G111" s="3"/>
      <c r="H111" s="3" t="s">
        <v>955</v>
      </c>
      <c r="I111" s="3"/>
      <c r="J111" s="3">
        <v>60350</v>
      </c>
      <c r="K111" s="3" t="s">
        <v>956</v>
      </c>
      <c r="L111" s="3"/>
      <c r="M111" s="3" t="s">
        <v>957</v>
      </c>
      <c r="N111" s="3" t="s">
        <v>73</v>
      </c>
      <c r="O111" s="3" t="s">
        <v>43</v>
      </c>
      <c r="P111" s="3">
        <v>1</v>
      </c>
      <c r="Q111" s="3" t="s">
        <v>958</v>
      </c>
      <c r="R111" s="3" t="s">
        <v>34</v>
      </c>
      <c r="S111" s="3" t="s">
        <v>34</v>
      </c>
      <c r="T111" s="3" t="s">
        <v>959</v>
      </c>
      <c r="U111" s="17" t="s">
        <v>960</v>
      </c>
      <c r="V111" s="17" t="s">
        <v>55</v>
      </c>
      <c r="W111" s="1"/>
    </row>
    <row r="112" spans="1:23" ht="28.15" customHeight="1">
      <c r="A112" s="3" t="s">
        <v>961</v>
      </c>
      <c r="B112" s="3" t="s">
        <v>962</v>
      </c>
      <c r="C112" s="3" t="s">
        <v>24</v>
      </c>
      <c r="D112" s="3"/>
      <c r="E112" s="3" t="s">
        <v>963</v>
      </c>
      <c r="F112" s="3" t="s">
        <v>649</v>
      </c>
      <c r="G112" s="3"/>
      <c r="H112" s="3" t="s">
        <v>964</v>
      </c>
      <c r="I112" s="3"/>
      <c r="J112" s="3" t="s">
        <v>965</v>
      </c>
      <c r="K112" s="3" t="s">
        <v>966</v>
      </c>
      <c r="L112" s="3"/>
      <c r="M112" s="3" t="s">
        <v>967</v>
      </c>
      <c r="N112" s="3" t="s">
        <v>31</v>
      </c>
      <c r="O112" s="3" t="s">
        <v>43</v>
      </c>
      <c r="P112" s="3">
        <v>2</v>
      </c>
      <c r="Q112" s="3" t="s">
        <v>968</v>
      </c>
      <c r="R112" s="3" t="s">
        <v>34</v>
      </c>
      <c r="S112" s="3" t="s">
        <v>34</v>
      </c>
      <c r="T112" s="3"/>
      <c r="U112" s="16"/>
      <c r="V112" s="16"/>
      <c r="W112" s="1"/>
    </row>
    <row r="113" spans="1:23" ht="28.15" customHeight="1">
      <c r="A113" s="3" t="s">
        <v>969</v>
      </c>
      <c r="B113" s="3" t="s">
        <v>970</v>
      </c>
      <c r="C113" s="3" t="s">
        <v>24</v>
      </c>
      <c r="D113" s="3"/>
      <c r="E113" s="3" t="s">
        <v>971</v>
      </c>
      <c r="F113" s="3" t="s">
        <v>972</v>
      </c>
      <c r="G113" s="3" t="s">
        <v>973</v>
      </c>
      <c r="H113" s="3" t="s">
        <v>974</v>
      </c>
      <c r="I113" s="3"/>
      <c r="J113" s="3">
        <v>75013</v>
      </c>
      <c r="K113" s="3" t="s">
        <v>878</v>
      </c>
      <c r="L113" s="3"/>
      <c r="M113" s="3" t="s">
        <v>975</v>
      </c>
      <c r="N113" s="3" t="s">
        <v>73</v>
      </c>
      <c r="O113" s="3" t="s">
        <v>43</v>
      </c>
      <c r="P113" s="3">
        <v>1</v>
      </c>
      <c r="Q113" s="3" t="s">
        <v>976</v>
      </c>
      <c r="R113" s="3" t="s">
        <v>34</v>
      </c>
      <c r="S113" s="3" t="s">
        <v>34</v>
      </c>
      <c r="T113" s="3" t="s">
        <v>977</v>
      </c>
      <c r="U113" s="17" t="s">
        <v>978</v>
      </c>
      <c r="V113" s="17" t="s">
        <v>55</v>
      </c>
      <c r="W113" s="1" t="s">
        <v>1955</v>
      </c>
    </row>
    <row r="114" spans="1:23" ht="28.15" customHeight="1">
      <c r="A114" s="3" t="s">
        <v>979</v>
      </c>
      <c r="B114" s="3" t="s">
        <v>980</v>
      </c>
      <c r="C114" s="3" t="s">
        <v>24</v>
      </c>
      <c r="D114" s="3"/>
      <c r="E114" s="3" t="s">
        <v>981</v>
      </c>
      <c r="F114" s="3" t="s">
        <v>982</v>
      </c>
      <c r="G114" s="3"/>
      <c r="H114" s="3" t="s">
        <v>983</v>
      </c>
      <c r="I114" s="3"/>
      <c r="J114" s="3" t="s">
        <v>984</v>
      </c>
      <c r="K114" s="3" t="s">
        <v>985</v>
      </c>
      <c r="L114" s="3"/>
      <c r="M114" s="3" t="s">
        <v>986</v>
      </c>
      <c r="N114" s="3" t="s">
        <v>42</v>
      </c>
      <c r="O114" s="3" t="s">
        <v>43</v>
      </c>
      <c r="P114" s="3">
        <v>1</v>
      </c>
      <c r="Q114" s="3" t="s">
        <v>987</v>
      </c>
      <c r="R114" s="3" t="s">
        <v>34</v>
      </c>
      <c r="S114" s="3" t="s">
        <v>34</v>
      </c>
      <c r="T114" s="3" t="s">
        <v>988</v>
      </c>
      <c r="U114" s="16" t="s">
        <v>989</v>
      </c>
      <c r="V114" s="16" t="s">
        <v>55</v>
      </c>
      <c r="W114" s="1"/>
    </row>
    <row r="115" spans="1:23" ht="28.15" customHeight="1">
      <c r="A115" s="3" t="s">
        <v>990</v>
      </c>
      <c r="B115" s="3" t="s">
        <v>991</v>
      </c>
      <c r="C115" s="3" t="s">
        <v>24</v>
      </c>
      <c r="D115" s="3"/>
      <c r="E115" s="3" t="s">
        <v>134</v>
      </c>
      <c r="F115" s="3" t="s">
        <v>667</v>
      </c>
      <c r="G115" s="3"/>
      <c r="H115" s="3" t="s">
        <v>668</v>
      </c>
      <c r="I115" s="3"/>
      <c r="J115" s="3" t="s">
        <v>174</v>
      </c>
      <c r="K115" s="3" t="s">
        <v>868</v>
      </c>
      <c r="L115" s="3"/>
      <c r="M115" s="3" t="s">
        <v>992</v>
      </c>
      <c r="N115" s="3" t="s">
        <v>130</v>
      </c>
      <c r="O115" s="3" t="s">
        <v>43</v>
      </c>
      <c r="P115" s="3">
        <v>1</v>
      </c>
      <c r="Q115" s="3" t="s">
        <v>993</v>
      </c>
      <c r="R115" s="3" t="s">
        <v>34</v>
      </c>
      <c r="S115" s="3" t="s">
        <v>34</v>
      </c>
      <c r="T115" s="3"/>
      <c r="U115" s="17"/>
      <c r="V115" s="17"/>
      <c r="W115" s="1"/>
    </row>
    <row r="116" spans="1:23" ht="28.15" customHeight="1">
      <c r="A116" s="3" t="s">
        <v>994</v>
      </c>
      <c r="B116" s="3" t="s">
        <v>995</v>
      </c>
      <c r="C116" s="3" t="s">
        <v>24</v>
      </c>
      <c r="D116" s="3"/>
      <c r="E116" s="3" t="s">
        <v>134</v>
      </c>
      <c r="F116" s="3" t="s">
        <v>996</v>
      </c>
      <c r="G116" s="3"/>
      <c r="H116" s="3" t="s">
        <v>230</v>
      </c>
      <c r="I116" s="3"/>
      <c r="J116" s="3" t="s">
        <v>231</v>
      </c>
      <c r="K116" s="3" t="s">
        <v>232</v>
      </c>
      <c r="L116" s="3"/>
      <c r="M116" s="3" t="s">
        <v>997</v>
      </c>
      <c r="N116" s="3" t="s">
        <v>130</v>
      </c>
      <c r="O116" s="3" t="s">
        <v>43</v>
      </c>
      <c r="P116" s="3">
        <v>2</v>
      </c>
      <c r="Q116" s="3" t="s">
        <v>998</v>
      </c>
      <c r="R116" s="3" t="s">
        <v>34</v>
      </c>
      <c r="S116" s="3" t="s">
        <v>34</v>
      </c>
      <c r="T116" s="3"/>
      <c r="U116" s="16"/>
      <c r="V116" s="16"/>
      <c r="W116" s="1"/>
    </row>
    <row r="117" spans="1:23" ht="28.15" customHeight="1">
      <c r="A117" s="3" t="s">
        <v>999</v>
      </c>
      <c r="B117" s="3" t="s">
        <v>1000</v>
      </c>
      <c r="C117" s="3" t="s">
        <v>24</v>
      </c>
      <c r="D117" s="3"/>
      <c r="E117" s="3" t="s">
        <v>1001</v>
      </c>
      <c r="F117" s="3" t="s">
        <v>1002</v>
      </c>
      <c r="G117" s="3"/>
      <c r="H117" s="3" t="s">
        <v>1003</v>
      </c>
      <c r="I117" s="3" t="s">
        <v>1004</v>
      </c>
      <c r="J117" s="3" t="s">
        <v>1005</v>
      </c>
      <c r="K117" s="3" t="s">
        <v>1006</v>
      </c>
      <c r="L117" s="3"/>
      <c r="M117" s="3" t="s">
        <v>1007</v>
      </c>
      <c r="N117" s="3" t="s">
        <v>73</v>
      </c>
      <c r="O117" s="3" t="s">
        <v>43</v>
      </c>
      <c r="P117" s="3">
        <v>1</v>
      </c>
      <c r="Q117" s="3" t="s">
        <v>1008</v>
      </c>
      <c r="R117" s="3" t="s">
        <v>34</v>
      </c>
      <c r="S117" s="3" t="s">
        <v>34</v>
      </c>
      <c r="T117" s="3"/>
      <c r="U117" s="17"/>
      <c r="V117" s="17"/>
      <c r="W117" s="1"/>
    </row>
    <row r="118" spans="1:23" ht="28.15" customHeight="1">
      <c r="A118" s="3" t="s">
        <v>1009</v>
      </c>
      <c r="B118" s="3" t="s">
        <v>1010</v>
      </c>
      <c r="C118" s="3" t="s">
        <v>24</v>
      </c>
      <c r="D118" s="3"/>
      <c r="E118" s="3" t="s">
        <v>1011</v>
      </c>
      <c r="F118" s="3" t="s">
        <v>1012</v>
      </c>
      <c r="G118" s="3"/>
      <c r="H118" s="3" t="s">
        <v>1013</v>
      </c>
      <c r="I118" s="3"/>
      <c r="J118" s="3" t="s">
        <v>1014</v>
      </c>
      <c r="K118" s="3" t="s">
        <v>1015</v>
      </c>
      <c r="L118" s="3"/>
      <c r="M118" s="3" t="s">
        <v>1016</v>
      </c>
      <c r="N118" s="3" t="s">
        <v>1017</v>
      </c>
      <c r="O118" s="3" t="s">
        <v>32</v>
      </c>
      <c r="P118" s="3">
        <v>1</v>
      </c>
      <c r="Q118" s="3" t="s">
        <v>1018</v>
      </c>
      <c r="R118" s="3" t="s">
        <v>34</v>
      </c>
      <c r="S118" s="3" t="s">
        <v>34</v>
      </c>
      <c r="T118" s="3"/>
      <c r="U118" s="16"/>
      <c r="V118" s="16"/>
      <c r="W118" s="1"/>
    </row>
    <row r="119" spans="1:23" ht="28.15" customHeight="1">
      <c r="A119" s="3" t="s">
        <v>1019</v>
      </c>
      <c r="B119" s="3" t="s">
        <v>1020</v>
      </c>
      <c r="C119" s="3" t="s">
        <v>24</v>
      </c>
      <c r="D119" s="3"/>
      <c r="E119" s="3" t="s">
        <v>1011</v>
      </c>
      <c r="F119" s="3" t="s">
        <v>1021</v>
      </c>
      <c r="G119" s="3"/>
      <c r="H119" s="3" t="s">
        <v>1022</v>
      </c>
      <c r="I119" s="3"/>
      <c r="J119" s="3" t="s">
        <v>1023</v>
      </c>
      <c r="K119" s="3" t="s">
        <v>1024</v>
      </c>
      <c r="L119" s="3"/>
      <c r="M119" s="3" t="s">
        <v>1025</v>
      </c>
      <c r="N119" s="3" t="s">
        <v>73</v>
      </c>
      <c r="O119" s="3" t="s">
        <v>43</v>
      </c>
      <c r="P119" s="3">
        <v>1</v>
      </c>
      <c r="Q119" s="3" t="s">
        <v>1026</v>
      </c>
      <c r="R119" s="3" t="s">
        <v>34</v>
      </c>
      <c r="S119" s="3" t="s">
        <v>34</v>
      </c>
      <c r="T119" s="3"/>
      <c r="U119" s="17"/>
      <c r="V119" s="17" t="s">
        <v>152</v>
      </c>
      <c r="W119" s="1"/>
    </row>
    <row r="120" spans="1:23" ht="28.15" customHeight="1">
      <c r="A120" s="3" t="s">
        <v>1027</v>
      </c>
      <c r="B120" s="3" t="s">
        <v>1028</v>
      </c>
      <c r="C120" s="3" t="s">
        <v>24</v>
      </c>
      <c r="D120" s="3"/>
      <c r="E120" s="3" t="s">
        <v>1029</v>
      </c>
      <c r="F120" s="3" t="s">
        <v>1030</v>
      </c>
      <c r="G120" s="3"/>
      <c r="H120" s="3" t="s">
        <v>1031</v>
      </c>
      <c r="I120" s="3"/>
      <c r="J120" s="3" t="s">
        <v>127</v>
      </c>
      <c r="K120" s="3" t="s">
        <v>128</v>
      </c>
      <c r="L120" s="3"/>
      <c r="M120" s="3" t="s">
        <v>1032</v>
      </c>
      <c r="N120" s="3" t="s">
        <v>73</v>
      </c>
      <c r="O120" s="3" t="s">
        <v>43</v>
      </c>
      <c r="P120" s="3">
        <v>1</v>
      </c>
      <c r="Q120" s="3" t="s">
        <v>1033</v>
      </c>
      <c r="R120" s="3" t="s">
        <v>34</v>
      </c>
      <c r="S120" s="3" t="s">
        <v>34</v>
      </c>
      <c r="T120" s="3"/>
      <c r="U120" s="16"/>
      <c r="V120" s="16"/>
      <c r="W120" s="1"/>
    </row>
    <row r="121" spans="1:23" ht="28.15" customHeight="1">
      <c r="A121" s="3" t="s">
        <v>1034</v>
      </c>
      <c r="B121" s="3" t="s">
        <v>1035</v>
      </c>
      <c r="C121" s="3" t="s">
        <v>24</v>
      </c>
      <c r="D121" s="3"/>
      <c r="E121" s="3" t="s">
        <v>1036</v>
      </c>
      <c r="F121" s="3" t="s">
        <v>1037</v>
      </c>
      <c r="G121" s="3"/>
      <c r="H121" s="3" t="s">
        <v>1038</v>
      </c>
      <c r="I121" s="3"/>
      <c r="J121" s="3" t="s">
        <v>1039</v>
      </c>
      <c r="K121" s="3" t="s">
        <v>1040</v>
      </c>
      <c r="L121" s="3"/>
      <c r="M121" s="3" t="s">
        <v>1041</v>
      </c>
      <c r="N121" s="3" t="s">
        <v>73</v>
      </c>
      <c r="O121" s="3" t="s">
        <v>43</v>
      </c>
      <c r="P121" s="3">
        <v>1</v>
      </c>
      <c r="Q121" s="3" t="s">
        <v>1042</v>
      </c>
      <c r="R121" s="3" t="s">
        <v>34</v>
      </c>
      <c r="S121" s="3" t="s">
        <v>34</v>
      </c>
      <c r="T121" s="3"/>
      <c r="U121" s="17"/>
      <c r="V121" s="17" t="s">
        <v>152</v>
      </c>
      <c r="W121" s="1"/>
    </row>
    <row r="122" spans="1:23" ht="28.15" customHeight="1">
      <c r="A122" s="3" t="s">
        <v>1043</v>
      </c>
      <c r="B122" s="3" t="s">
        <v>1044</v>
      </c>
      <c r="C122" s="3" t="s">
        <v>24</v>
      </c>
      <c r="D122" s="3"/>
      <c r="E122" s="3" t="s">
        <v>1045</v>
      </c>
      <c r="F122" s="3" t="s">
        <v>1046</v>
      </c>
      <c r="G122" s="3"/>
      <c r="H122" s="3" t="s">
        <v>1047</v>
      </c>
      <c r="I122" s="3"/>
      <c r="J122" s="3" t="s">
        <v>422</v>
      </c>
      <c r="K122" s="3" t="s">
        <v>423</v>
      </c>
      <c r="L122" s="3"/>
      <c r="M122" s="3" t="s">
        <v>1048</v>
      </c>
      <c r="N122" s="3" t="s">
        <v>73</v>
      </c>
      <c r="O122" s="3" t="s">
        <v>43</v>
      </c>
      <c r="P122" s="3">
        <v>1</v>
      </c>
      <c r="Q122" s="3" t="s">
        <v>1049</v>
      </c>
      <c r="R122" s="3" t="s">
        <v>34</v>
      </c>
      <c r="S122" s="3" t="s">
        <v>34</v>
      </c>
      <c r="T122" s="3"/>
      <c r="U122" s="16"/>
      <c r="V122" s="16" t="s">
        <v>152</v>
      </c>
      <c r="W122" s="1"/>
    </row>
    <row r="123" spans="1:23" ht="28.15" customHeight="1">
      <c r="A123" s="3" t="s">
        <v>1050</v>
      </c>
      <c r="B123" s="3" t="s">
        <v>1051</v>
      </c>
      <c r="C123" s="3" t="s">
        <v>24</v>
      </c>
      <c r="D123" s="3"/>
      <c r="E123" s="3" t="s">
        <v>1052</v>
      </c>
      <c r="F123" s="3" t="s">
        <v>1053</v>
      </c>
      <c r="G123" s="3" t="s">
        <v>1054</v>
      </c>
      <c r="H123" s="3" t="s">
        <v>1055</v>
      </c>
      <c r="I123" s="3"/>
      <c r="J123" s="3" t="s">
        <v>573</v>
      </c>
      <c r="K123" s="3" t="s">
        <v>574</v>
      </c>
      <c r="L123" s="3"/>
      <c r="M123" s="3" t="s">
        <v>1056</v>
      </c>
      <c r="N123" s="3" t="s">
        <v>42</v>
      </c>
      <c r="O123" s="3" t="s">
        <v>43</v>
      </c>
      <c r="P123" s="3">
        <v>1</v>
      </c>
      <c r="Q123" s="3" t="s">
        <v>1057</v>
      </c>
      <c r="R123" s="3" t="s">
        <v>34</v>
      </c>
      <c r="S123" s="3" t="s">
        <v>34</v>
      </c>
      <c r="T123" s="3"/>
      <c r="U123" s="17"/>
      <c r="V123" s="17" t="s">
        <v>152</v>
      </c>
      <c r="W123" s="1" t="s">
        <v>1956</v>
      </c>
    </row>
    <row r="124" spans="1:23" ht="28.15" customHeight="1">
      <c r="A124" s="3" t="s">
        <v>1058</v>
      </c>
      <c r="B124" s="3" t="s">
        <v>1059</v>
      </c>
      <c r="C124" s="3" t="s">
        <v>24</v>
      </c>
      <c r="D124" s="3"/>
      <c r="E124" s="3" t="s">
        <v>1060</v>
      </c>
      <c r="F124" s="3" t="s">
        <v>391</v>
      </c>
      <c r="G124" s="3"/>
      <c r="H124" s="3" t="s">
        <v>1061</v>
      </c>
      <c r="I124" s="3"/>
      <c r="J124" s="3" t="s">
        <v>346</v>
      </c>
      <c r="K124" s="3" t="s">
        <v>1062</v>
      </c>
      <c r="L124" s="3"/>
      <c r="M124" s="3" t="s">
        <v>1063</v>
      </c>
      <c r="N124" s="3" t="s">
        <v>73</v>
      </c>
      <c r="O124" s="3" t="s">
        <v>43</v>
      </c>
      <c r="P124" s="3">
        <v>1</v>
      </c>
      <c r="Q124" s="3" t="s">
        <v>1064</v>
      </c>
      <c r="R124" s="3" t="s">
        <v>34</v>
      </c>
      <c r="S124" s="3" t="s">
        <v>34</v>
      </c>
      <c r="T124" s="3"/>
      <c r="U124" s="16"/>
      <c r="V124" s="16"/>
      <c r="W124" s="1"/>
    </row>
    <row r="125" spans="1:23" ht="28.15" customHeight="1">
      <c r="A125" s="3" t="s">
        <v>1065</v>
      </c>
      <c r="B125" s="3" t="s">
        <v>1066</v>
      </c>
      <c r="C125" s="3" t="s">
        <v>24</v>
      </c>
      <c r="D125" s="3"/>
      <c r="E125" s="3" t="s">
        <v>1067</v>
      </c>
      <c r="F125" s="3" t="s">
        <v>1068</v>
      </c>
      <c r="G125" s="3"/>
      <c r="H125" s="3" t="s">
        <v>1069</v>
      </c>
      <c r="I125" s="3"/>
      <c r="J125" s="3" t="s">
        <v>39</v>
      </c>
      <c r="K125" s="3" t="s">
        <v>1070</v>
      </c>
      <c r="L125" s="3"/>
      <c r="M125" s="3" t="s">
        <v>1071</v>
      </c>
      <c r="N125" s="3" t="s">
        <v>130</v>
      </c>
      <c r="O125" s="3" t="s">
        <v>32</v>
      </c>
      <c r="P125" s="3">
        <v>1</v>
      </c>
      <c r="Q125" s="3" t="s">
        <v>1072</v>
      </c>
      <c r="R125" s="3" t="s">
        <v>34</v>
      </c>
      <c r="S125" s="3" t="s">
        <v>34</v>
      </c>
      <c r="T125" s="3"/>
      <c r="U125" s="17"/>
      <c r="V125" s="17"/>
      <c r="W125" s="1"/>
    </row>
    <row r="126" spans="1:23" ht="28.15" customHeight="1">
      <c r="A126" s="3" t="s">
        <v>1073</v>
      </c>
      <c r="B126" s="3" t="s">
        <v>1074</v>
      </c>
      <c r="C126" s="3" t="s">
        <v>24</v>
      </c>
      <c r="D126" s="3"/>
      <c r="E126" s="3" t="s">
        <v>1075</v>
      </c>
      <c r="F126" s="3" t="s">
        <v>1076</v>
      </c>
      <c r="G126" s="3"/>
      <c r="H126" s="3" t="s">
        <v>354</v>
      </c>
      <c r="I126" s="3"/>
      <c r="J126" s="3" t="s">
        <v>355</v>
      </c>
      <c r="K126" s="3" t="s">
        <v>356</v>
      </c>
      <c r="L126" s="3"/>
      <c r="M126" s="3" t="s">
        <v>1077</v>
      </c>
      <c r="N126" s="3" t="s">
        <v>1078</v>
      </c>
      <c r="O126" s="3" t="s">
        <v>32</v>
      </c>
      <c r="P126" s="3">
        <v>1</v>
      </c>
      <c r="Q126" s="3" t="s">
        <v>1079</v>
      </c>
      <c r="R126" s="3" t="s">
        <v>34</v>
      </c>
      <c r="S126" s="3" t="s">
        <v>34</v>
      </c>
      <c r="T126" s="3"/>
      <c r="U126" s="16"/>
      <c r="V126" s="16"/>
      <c r="W126" s="1"/>
    </row>
    <row r="127" spans="1:23" ht="28.15" customHeight="1">
      <c r="A127" s="3" t="s">
        <v>1080</v>
      </c>
      <c r="B127" s="3" t="s">
        <v>1081</v>
      </c>
      <c r="C127" s="3" t="s">
        <v>24</v>
      </c>
      <c r="D127" s="3"/>
      <c r="E127" s="3" t="s">
        <v>1075</v>
      </c>
      <c r="F127" s="3" t="s">
        <v>1082</v>
      </c>
      <c r="G127" s="3"/>
      <c r="H127" s="3" t="s">
        <v>1083</v>
      </c>
      <c r="I127" s="3"/>
      <c r="J127" s="3" t="s">
        <v>1084</v>
      </c>
      <c r="K127" s="3" t="s">
        <v>1085</v>
      </c>
      <c r="L127" s="3"/>
      <c r="M127" s="3" t="s">
        <v>1086</v>
      </c>
      <c r="N127" s="3" t="s">
        <v>42</v>
      </c>
      <c r="O127" s="3" t="s">
        <v>43</v>
      </c>
      <c r="P127" s="3">
        <v>1</v>
      </c>
      <c r="Q127" s="3" t="s">
        <v>1087</v>
      </c>
      <c r="R127" s="3" t="s">
        <v>34</v>
      </c>
      <c r="S127" s="3" t="s">
        <v>34</v>
      </c>
      <c r="T127" s="3"/>
      <c r="U127" s="17"/>
      <c r="V127" s="17"/>
      <c r="W127" s="1"/>
    </row>
    <row r="128" spans="1:23" ht="28.15" customHeight="1">
      <c r="A128" s="3" t="s">
        <v>1088</v>
      </c>
      <c r="B128" s="3" t="s">
        <v>1089</v>
      </c>
      <c r="C128" s="3" t="s">
        <v>24</v>
      </c>
      <c r="D128" s="3"/>
      <c r="E128" s="3" t="s">
        <v>1090</v>
      </c>
      <c r="F128" s="3" t="s">
        <v>1091</v>
      </c>
      <c r="G128" s="3"/>
      <c r="H128" s="3" t="s">
        <v>1092</v>
      </c>
      <c r="I128" s="3"/>
      <c r="J128" s="3" t="s">
        <v>523</v>
      </c>
      <c r="K128" s="3" t="s">
        <v>524</v>
      </c>
      <c r="L128" s="3"/>
      <c r="M128" s="3" t="s">
        <v>1093</v>
      </c>
      <c r="N128" s="3" t="s">
        <v>42</v>
      </c>
      <c r="O128" s="3" t="s">
        <v>43</v>
      </c>
      <c r="P128" s="3">
        <v>1</v>
      </c>
      <c r="Q128" s="3" t="s">
        <v>1094</v>
      </c>
      <c r="R128" s="3" t="s">
        <v>34</v>
      </c>
      <c r="S128" s="3" t="s">
        <v>34</v>
      </c>
      <c r="T128" s="3"/>
      <c r="U128" s="16"/>
      <c r="V128" s="16"/>
      <c r="W128" s="1"/>
    </row>
    <row r="129" spans="1:23" ht="28.15" customHeight="1">
      <c r="A129" s="3" t="s">
        <v>1095</v>
      </c>
      <c r="B129" s="3" t="s">
        <v>1096</v>
      </c>
      <c r="C129" s="3" t="s">
        <v>24</v>
      </c>
      <c r="D129" s="3"/>
      <c r="E129" s="3" t="s">
        <v>1097</v>
      </c>
      <c r="F129" s="3" t="s">
        <v>1098</v>
      </c>
      <c r="G129" s="3"/>
      <c r="H129" s="3" t="s">
        <v>1099</v>
      </c>
      <c r="I129" s="3"/>
      <c r="J129" s="3">
        <v>60500</v>
      </c>
      <c r="K129" s="3" t="s">
        <v>204</v>
      </c>
      <c r="L129" s="3"/>
      <c r="M129" s="3" t="s">
        <v>1100</v>
      </c>
      <c r="N129" s="3" t="s">
        <v>42</v>
      </c>
      <c r="O129" s="3" t="s">
        <v>43</v>
      </c>
      <c r="P129" s="3">
        <v>1</v>
      </c>
      <c r="Q129" s="3" t="s">
        <v>1101</v>
      </c>
      <c r="R129" s="3" t="s">
        <v>34</v>
      </c>
      <c r="S129" s="3" t="s">
        <v>34</v>
      </c>
      <c r="T129" s="3" t="s">
        <v>102</v>
      </c>
      <c r="U129" s="17" t="s">
        <v>1102</v>
      </c>
      <c r="V129" s="17" t="s">
        <v>55</v>
      </c>
      <c r="W129" s="1"/>
    </row>
    <row r="130" spans="1:23" ht="28.15" customHeight="1">
      <c r="A130" s="3" t="s">
        <v>1103</v>
      </c>
      <c r="B130" s="3" t="s">
        <v>1104</v>
      </c>
      <c r="C130" s="3" t="s">
        <v>24</v>
      </c>
      <c r="D130" s="3"/>
      <c r="E130" s="3" t="s">
        <v>1105</v>
      </c>
      <c r="F130" s="3" t="s">
        <v>1106</v>
      </c>
      <c r="G130" s="3"/>
      <c r="H130" s="3" t="s">
        <v>1107</v>
      </c>
      <c r="I130" s="3"/>
      <c r="J130" s="3" t="s">
        <v>548</v>
      </c>
      <c r="K130" s="3" t="s">
        <v>549</v>
      </c>
      <c r="L130" s="3"/>
      <c r="M130" s="3" t="s">
        <v>1108</v>
      </c>
      <c r="N130" s="3" t="s">
        <v>42</v>
      </c>
      <c r="O130" s="3" t="s">
        <v>43</v>
      </c>
      <c r="P130" s="3">
        <v>1</v>
      </c>
      <c r="Q130" s="3" t="s">
        <v>1109</v>
      </c>
      <c r="R130" s="3" t="s">
        <v>34</v>
      </c>
      <c r="S130" s="3" t="s">
        <v>34</v>
      </c>
      <c r="T130" s="3"/>
      <c r="U130" s="16"/>
      <c r="V130" s="16"/>
      <c r="W130" s="1"/>
    </row>
    <row r="131" spans="1:23" ht="28.15" customHeight="1">
      <c r="A131" s="3" t="s">
        <v>1110</v>
      </c>
      <c r="B131" s="3" t="s">
        <v>1111</v>
      </c>
      <c r="C131" s="3" t="s">
        <v>24</v>
      </c>
      <c r="D131" s="3"/>
      <c r="E131" s="3" t="s">
        <v>898</v>
      </c>
      <c r="F131" s="3" t="s">
        <v>1112</v>
      </c>
      <c r="G131" s="3" t="s">
        <v>1113</v>
      </c>
      <c r="H131" s="3" t="s">
        <v>1114</v>
      </c>
      <c r="I131" s="3"/>
      <c r="J131" s="3" t="s">
        <v>757</v>
      </c>
      <c r="K131" s="3" t="s">
        <v>758</v>
      </c>
      <c r="L131" s="3"/>
      <c r="M131" s="3" t="s">
        <v>1115</v>
      </c>
      <c r="N131" s="3" t="s">
        <v>838</v>
      </c>
      <c r="O131" s="3" t="s">
        <v>43</v>
      </c>
      <c r="P131" s="3">
        <v>1</v>
      </c>
      <c r="Q131" s="3" t="s">
        <v>1116</v>
      </c>
      <c r="R131" s="3" t="s">
        <v>34</v>
      </c>
      <c r="S131" s="3" t="s">
        <v>34</v>
      </c>
      <c r="T131" s="3"/>
      <c r="U131" s="17" t="s">
        <v>1117</v>
      </c>
      <c r="V131" s="17" t="s">
        <v>55</v>
      </c>
      <c r="W131" s="1" t="s">
        <v>1957</v>
      </c>
    </row>
    <row r="132" spans="1:23" ht="28.15" customHeight="1">
      <c r="A132" s="3" t="s">
        <v>1118</v>
      </c>
      <c r="B132" s="3" t="s">
        <v>1119</v>
      </c>
      <c r="C132" s="3"/>
      <c r="D132" s="3"/>
      <c r="E132" s="3" t="s">
        <v>1120</v>
      </c>
      <c r="F132" s="3" t="s">
        <v>1121</v>
      </c>
      <c r="G132" s="3"/>
      <c r="H132" s="3" t="s">
        <v>668</v>
      </c>
      <c r="I132" s="3"/>
      <c r="J132" s="3" t="s">
        <v>174</v>
      </c>
      <c r="K132" s="3" t="s">
        <v>669</v>
      </c>
      <c r="L132" s="3"/>
      <c r="M132" s="3" t="s">
        <v>1122</v>
      </c>
      <c r="N132" s="3" t="s">
        <v>42</v>
      </c>
      <c r="O132" s="3" t="s">
        <v>43</v>
      </c>
      <c r="P132" s="3">
        <v>1</v>
      </c>
      <c r="Q132" s="3" t="s">
        <v>1123</v>
      </c>
      <c r="R132" s="3" t="s">
        <v>34</v>
      </c>
      <c r="S132" s="3" t="s">
        <v>34</v>
      </c>
      <c r="T132" s="3"/>
      <c r="U132" s="16"/>
      <c r="V132" s="16"/>
      <c r="W132" s="1"/>
    </row>
    <row r="133" spans="1:23" ht="28.15" customHeight="1">
      <c r="A133" s="3" t="s">
        <v>1124</v>
      </c>
      <c r="B133" s="3" t="s">
        <v>1125</v>
      </c>
      <c r="C133" s="3"/>
      <c r="D133" s="3"/>
      <c r="E133" s="3" t="s">
        <v>1120</v>
      </c>
      <c r="F133" s="3" t="s">
        <v>1126</v>
      </c>
      <c r="G133" s="3"/>
      <c r="H133" s="3" t="s">
        <v>780</v>
      </c>
      <c r="I133" s="3"/>
      <c r="J133" s="3" t="s">
        <v>80</v>
      </c>
      <c r="K133" s="3" t="s">
        <v>81</v>
      </c>
      <c r="L133" s="3"/>
      <c r="M133" s="3" t="s">
        <v>1127</v>
      </c>
      <c r="N133" s="3" t="s">
        <v>42</v>
      </c>
      <c r="O133" s="3" t="s">
        <v>43</v>
      </c>
      <c r="P133" s="3">
        <v>1</v>
      </c>
      <c r="Q133" s="3" t="s">
        <v>1128</v>
      </c>
      <c r="R133" s="3" t="s">
        <v>34</v>
      </c>
      <c r="S133" s="3" t="s">
        <v>34</v>
      </c>
      <c r="T133" s="3"/>
      <c r="U133" s="17"/>
      <c r="V133" s="17"/>
      <c r="W133" s="1"/>
    </row>
    <row r="134" spans="1:23" ht="28.15" customHeight="1">
      <c r="A134" s="3" t="s">
        <v>1129</v>
      </c>
      <c r="B134" s="3" t="s">
        <v>1130</v>
      </c>
      <c r="C134" s="3" t="s">
        <v>24</v>
      </c>
      <c r="D134" s="3"/>
      <c r="E134" s="3" t="s">
        <v>545</v>
      </c>
      <c r="F134" s="3" t="s">
        <v>1131</v>
      </c>
      <c r="G134" s="3"/>
      <c r="H134" s="3" t="s">
        <v>1132</v>
      </c>
      <c r="I134" s="3"/>
      <c r="J134" s="3" t="s">
        <v>280</v>
      </c>
      <c r="K134" s="3" t="s">
        <v>1133</v>
      </c>
      <c r="L134" s="3"/>
      <c r="M134" s="3" t="s">
        <v>1134</v>
      </c>
      <c r="N134" s="3" t="s">
        <v>42</v>
      </c>
      <c r="O134" s="3" t="s">
        <v>43</v>
      </c>
      <c r="P134" s="3">
        <v>1</v>
      </c>
      <c r="Q134" s="3" t="s">
        <v>1135</v>
      </c>
      <c r="R134" s="3" t="s">
        <v>34</v>
      </c>
      <c r="S134" s="3" t="s">
        <v>34</v>
      </c>
      <c r="T134" s="3"/>
      <c r="U134" s="16"/>
      <c r="V134" s="16"/>
      <c r="W134" s="1"/>
    </row>
    <row r="135" spans="1:23" ht="28.15" customHeight="1">
      <c r="A135" s="3" t="s">
        <v>1136</v>
      </c>
      <c r="B135" s="3" t="s">
        <v>1137</v>
      </c>
      <c r="C135" s="3" t="s">
        <v>1138</v>
      </c>
      <c r="D135" s="3" t="s">
        <v>1138</v>
      </c>
      <c r="E135" s="3" t="s">
        <v>1139</v>
      </c>
      <c r="F135" s="3" t="s">
        <v>1140</v>
      </c>
      <c r="G135" s="3"/>
      <c r="H135" s="3" t="s">
        <v>1141</v>
      </c>
      <c r="I135" s="3" t="s">
        <v>173</v>
      </c>
      <c r="J135" s="3" t="s">
        <v>174</v>
      </c>
      <c r="K135" s="3" t="s">
        <v>175</v>
      </c>
      <c r="L135" s="3"/>
      <c r="M135" s="3" t="s">
        <v>1142</v>
      </c>
      <c r="N135" s="3" t="s">
        <v>1143</v>
      </c>
      <c r="O135" s="3" t="s">
        <v>43</v>
      </c>
      <c r="P135" s="3">
        <v>1</v>
      </c>
      <c r="Q135" s="3" t="s">
        <v>1144</v>
      </c>
      <c r="R135" s="3" t="s">
        <v>34</v>
      </c>
      <c r="S135" s="3" t="s">
        <v>34</v>
      </c>
      <c r="T135" s="3"/>
      <c r="U135" s="17"/>
      <c r="V135" s="17" t="s">
        <v>152</v>
      </c>
      <c r="W135" s="1"/>
    </row>
    <row r="136" spans="1:23" ht="28.15" customHeight="1">
      <c r="A136" s="3" t="s">
        <v>1145</v>
      </c>
      <c r="B136" s="3" t="s">
        <v>1146</v>
      </c>
      <c r="C136" s="3" t="s">
        <v>1147</v>
      </c>
      <c r="D136" s="3" t="s">
        <v>1138</v>
      </c>
      <c r="E136" s="3" t="s">
        <v>1148</v>
      </c>
      <c r="F136" s="3" t="s">
        <v>1149</v>
      </c>
      <c r="G136" s="3"/>
      <c r="H136" s="3" t="s">
        <v>1150</v>
      </c>
      <c r="I136" s="3"/>
      <c r="J136" s="3" t="s">
        <v>39</v>
      </c>
      <c r="K136" s="3" t="s">
        <v>1151</v>
      </c>
      <c r="L136" s="3"/>
      <c r="M136" s="3" t="s">
        <v>1152</v>
      </c>
      <c r="N136" s="3" t="s">
        <v>1153</v>
      </c>
      <c r="O136" s="3" t="s">
        <v>43</v>
      </c>
      <c r="P136" s="3">
        <v>1</v>
      </c>
      <c r="Q136" s="3" t="s">
        <v>1154</v>
      </c>
      <c r="R136" s="3" t="s">
        <v>34</v>
      </c>
      <c r="S136" s="3" t="s">
        <v>34</v>
      </c>
      <c r="T136" s="3"/>
      <c r="U136" s="16"/>
      <c r="V136" s="16"/>
      <c r="W136" s="1"/>
    </row>
    <row r="137" spans="1:23" ht="28.15" customHeight="1">
      <c r="A137" s="3" t="s">
        <v>1155</v>
      </c>
      <c r="B137" s="3" t="s">
        <v>1156</v>
      </c>
      <c r="C137" s="3" t="s">
        <v>1147</v>
      </c>
      <c r="D137" s="3" t="s">
        <v>1138</v>
      </c>
      <c r="E137" s="3" t="s">
        <v>1157</v>
      </c>
      <c r="F137" s="3" t="s">
        <v>1158</v>
      </c>
      <c r="G137" s="3"/>
      <c r="H137" s="3" t="s">
        <v>964</v>
      </c>
      <c r="I137" s="3"/>
      <c r="J137" s="3" t="s">
        <v>965</v>
      </c>
      <c r="K137" s="3" t="s">
        <v>966</v>
      </c>
      <c r="L137" s="3"/>
      <c r="M137" s="3" t="s">
        <v>1159</v>
      </c>
      <c r="N137" s="3" t="s">
        <v>1153</v>
      </c>
      <c r="O137" s="3" t="s">
        <v>43</v>
      </c>
      <c r="P137" s="3">
        <v>1</v>
      </c>
      <c r="Q137" s="3" t="s">
        <v>1160</v>
      </c>
      <c r="R137" s="3" t="s">
        <v>34</v>
      </c>
      <c r="S137" s="3" t="s">
        <v>34</v>
      </c>
      <c r="T137" s="3"/>
      <c r="U137" s="17"/>
      <c r="V137" s="17"/>
      <c r="W137" s="1"/>
    </row>
    <row r="138" spans="1:23" ht="28.15" customHeight="1">
      <c r="A138" s="3" t="s">
        <v>1161</v>
      </c>
      <c r="B138" s="3" t="s">
        <v>1162</v>
      </c>
      <c r="C138" s="3" t="s">
        <v>1147</v>
      </c>
      <c r="D138" s="3" t="s">
        <v>1138</v>
      </c>
      <c r="E138" s="3" t="s">
        <v>115</v>
      </c>
      <c r="F138" s="3" t="s">
        <v>1163</v>
      </c>
      <c r="G138" s="3"/>
      <c r="H138" s="3" t="s">
        <v>1164</v>
      </c>
      <c r="I138" s="3"/>
      <c r="J138" s="3" t="s">
        <v>305</v>
      </c>
      <c r="K138" s="3" t="s">
        <v>306</v>
      </c>
      <c r="L138" s="3"/>
      <c r="M138" s="3" t="s">
        <v>1165</v>
      </c>
      <c r="N138" s="3" t="s">
        <v>1153</v>
      </c>
      <c r="O138" s="3" t="s">
        <v>43</v>
      </c>
      <c r="P138" s="3">
        <v>1</v>
      </c>
      <c r="Q138" s="3" t="s">
        <v>1166</v>
      </c>
      <c r="R138" s="3" t="s">
        <v>34</v>
      </c>
      <c r="S138" s="3" t="s">
        <v>34</v>
      </c>
      <c r="T138" s="3"/>
      <c r="U138" s="16"/>
      <c r="V138" s="16"/>
      <c r="W138" s="1"/>
    </row>
    <row r="139" spans="1:23" ht="28.15" customHeight="1">
      <c r="A139" s="3" t="s">
        <v>1167</v>
      </c>
      <c r="B139" s="3" t="s">
        <v>1168</v>
      </c>
      <c r="C139" s="3" t="s">
        <v>1147</v>
      </c>
      <c r="D139" s="3" t="s">
        <v>1138</v>
      </c>
      <c r="E139" s="3" t="s">
        <v>1169</v>
      </c>
      <c r="F139" s="3" t="s">
        <v>1170</v>
      </c>
      <c r="G139" s="3"/>
      <c r="H139" s="3" t="s">
        <v>1171</v>
      </c>
      <c r="I139" s="3"/>
      <c r="J139" s="3" t="s">
        <v>1172</v>
      </c>
      <c r="K139" s="3" t="s">
        <v>1173</v>
      </c>
      <c r="L139" s="3"/>
      <c r="M139" s="3" t="s">
        <v>1174</v>
      </c>
      <c r="N139" s="3" t="s">
        <v>1153</v>
      </c>
      <c r="O139" s="3" t="s">
        <v>43</v>
      </c>
      <c r="P139" s="3">
        <v>1</v>
      </c>
      <c r="Q139" s="3" t="s">
        <v>1175</v>
      </c>
      <c r="R139" s="3" t="s">
        <v>34</v>
      </c>
      <c r="S139" s="3" t="s">
        <v>34</v>
      </c>
      <c r="T139" s="3"/>
      <c r="U139" s="17"/>
      <c r="V139" s="17"/>
      <c r="W139" s="1"/>
    </row>
    <row r="140" spans="1:23" ht="28.15" customHeight="1">
      <c r="A140" s="3" t="s">
        <v>1176</v>
      </c>
      <c r="B140" s="3" t="s">
        <v>1177</v>
      </c>
      <c r="C140" s="3" t="s">
        <v>1147</v>
      </c>
      <c r="D140" s="3" t="s">
        <v>1138</v>
      </c>
      <c r="E140" s="3" t="s">
        <v>1178</v>
      </c>
      <c r="F140" s="3" t="s">
        <v>1179</v>
      </c>
      <c r="G140" s="3"/>
      <c r="H140" s="3" t="s">
        <v>1180</v>
      </c>
      <c r="I140" s="3"/>
      <c r="J140" s="3" t="s">
        <v>174</v>
      </c>
      <c r="K140" s="3" t="s">
        <v>175</v>
      </c>
      <c r="L140" s="3"/>
      <c r="M140" s="3" t="s">
        <v>1181</v>
      </c>
      <c r="N140" s="3" t="s">
        <v>1153</v>
      </c>
      <c r="O140" s="3" t="s">
        <v>43</v>
      </c>
      <c r="P140" s="3">
        <v>1</v>
      </c>
      <c r="Q140" s="3" t="s">
        <v>1182</v>
      </c>
      <c r="R140" s="3" t="s">
        <v>34</v>
      </c>
      <c r="S140" s="3" t="s">
        <v>34</v>
      </c>
      <c r="T140" s="3"/>
      <c r="U140" s="16"/>
      <c r="V140" s="16"/>
      <c r="W140" s="1"/>
    </row>
    <row r="141" spans="1:23" ht="28.15" customHeight="1">
      <c r="A141" s="3" t="s">
        <v>1183</v>
      </c>
      <c r="B141" s="3" t="s">
        <v>1184</v>
      </c>
      <c r="C141" s="3" t="s">
        <v>1147</v>
      </c>
      <c r="D141" s="3" t="s">
        <v>1138</v>
      </c>
      <c r="E141" s="3" t="s">
        <v>164</v>
      </c>
      <c r="F141" s="3" t="s">
        <v>165</v>
      </c>
      <c r="G141" s="3"/>
      <c r="H141" s="3" t="s">
        <v>1185</v>
      </c>
      <c r="I141" s="3"/>
      <c r="J141" s="3" t="s">
        <v>39</v>
      </c>
      <c r="K141" s="3" t="s">
        <v>40</v>
      </c>
      <c r="L141" s="3"/>
      <c r="M141" s="3" t="s">
        <v>1186</v>
      </c>
      <c r="N141" s="3" t="s">
        <v>1153</v>
      </c>
      <c r="O141" s="3" t="s">
        <v>43</v>
      </c>
      <c r="P141" s="3">
        <v>1</v>
      </c>
      <c r="Q141" s="3" t="s">
        <v>1187</v>
      </c>
      <c r="R141" s="3" t="s">
        <v>34</v>
      </c>
      <c r="S141" s="3" t="s">
        <v>34</v>
      </c>
      <c r="T141" s="3"/>
      <c r="U141" s="17"/>
      <c r="V141" s="17" t="s">
        <v>152</v>
      </c>
      <c r="W141" s="1"/>
    </row>
    <row r="142" spans="1:23" ht="28.15" customHeight="1">
      <c r="A142" s="3" t="s">
        <v>1188</v>
      </c>
      <c r="B142" s="3" t="s">
        <v>1189</v>
      </c>
      <c r="C142" s="3" t="s">
        <v>1147</v>
      </c>
      <c r="D142" s="3" t="s">
        <v>1138</v>
      </c>
      <c r="E142" s="3" t="s">
        <v>1190</v>
      </c>
      <c r="F142" s="3" t="s">
        <v>1191</v>
      </c>
      <c r="G142" s="3"/>
      <c r="H142" s="3" t="s">
        <v>1192</v>
      </c>
      <c r="I142" s="3"/>
      <c r="J142" s="3" t="s">
        <v>203</v>
      </c>
      <c r="K142" s="3" t="s">
        <v>204</v>
      </c>
      <c r="L142" s="3"/>
      <c r="M142" s="3" t="s">
        <v>1193</v>
      </c>
      <c r="N142" s="3" t="s">
        <v>1153</v>
      </c>
      <c r="O142" s="3" t="s">
        <v>43</v>
      </c>
      <c r="P142" s="3">
        <v>1</v>
      </c>
      <c r="Q142" s="3" t="s">
        <v>1194</v>
      </c>
      <c r="R142" s="3" t="s">
        <v>34</v>
      </c>
      <c r="S142" s="3" t="s">
        <v>34</v>
      </c>
      <c r="T142" s="3"/>
      <c r="U142" s="16"/>
      <c r="V142" s="16" t="s">
        <v>152</v>
      </c>
      <c r="W142" s="1"/>
    </row>
    <row r="143" spans="1:23" ht="28.15" customHeight="1">
      <c r="A143" s="3" t="s">
        <v>1195</v>
      </c>
      <c r="B143" s="3" t="s">
        <v>1196</v>
      </c>
      <c r="C143" s="3" t="s">
        <v>1147</v>
      </c>
      <c r="D143" s="3" t="s">
        <v>1138</v>
      </c>
      <c r="E143" s="3" t="s">
        <v>1197</v>
      </c>
      <c r="F143" s="3" t="s">
        <v>1198</v>
      </c>
      <c r="G143" s="3"/>
      <c r="H143" s="3" t="s">
        <v>1199</v>
      </c>
      <c r="I143" s="3"/>
      <c r="J143" s="3" t="s">
        <v>174</v>
      </c>
      <c r="K143" s="3" t="s">
        <v>1200</v>
      </c>
      <c r="L143" s="3"/>
      <c r="M143" s="3" t="s">
        <v>1201</v>
      </c>
      <c r="N143" s="3" t="s">
        <v>1153</v>
      </c>
      <c r="O143" s="3" t="s">
        <v>43</v>
      </c>
      <c r="P143" s="3">
        <v>1</v>
      </c>
      <c r="Q143" s="3" t="s">
        <v>1202</v>
      </c>
      <c r="R143" s="3" t="s">
        <v>34</v>
      </c>
      <c r="S143" s="3" t="s">
        <v>34</v>
      </c>
      <c r="T143" s="3"/>
      <c r="U143" s="17"/>
      <c r="V143" s="17"/>
      <c r="W143" s="1"/>
    </row>
    <row r="144" spans="1:23" ht="28.15" customHeight="1">
      <c r="A144" s="3" t="s">
        <v>1203</v>
      </c>
      <c r="B144" s="3" t="s">
        <v>1204</v>
      </c>
      <c r="C144" s="3" t="s">
        <v>1147</v>
      </c>
      <c r="D144" s="3" t="s">
        <v>1138</v>
      </c>
      <c r="E144" s="3" t="s">
        <v>1205</v>
      </c>
      <c r="F144" s="3" t="s">
        <v>1206</v>
      </c>
      <c r="G144" s="3"/>
      <c r="H144" s="3" t="s">
        <v>1207</v>
      </c>
      <c r="I144" s="3"/>
      <c r="J144" s="3" t="s">
        <v>918</v>
      </c>
      <c r="K144" s="3" t="s">
        <v>1208</v>
      </c>
      <c r="L144" s="3"/>
      <c r="M144" s="3" t="s">
        <v>1209</v>
      </c>
      <c r="N144" s="3" t="s">
        <v>1153</v>
      </c>
      <c r="O144" s="3" t="s">
        <v>43</v>
      </c>
      <c r="P144" s="3">
        <v>1</v>
      </c>
      <c r="Q144" s="3" t="s">
        <v>1210</v>
      </c>
      <c r="R144" s="3" t="s">
        <v>34</v>
      </c>
      <c r="S144" s="3" t="s">
        <v>34</v>
      </c>
      <c r="T144" s="3"/>
      <c r="U144" s="16"/>
      <c r="V144" s="16"/>
      <c r="W144" s="1"/>
    </row>
    <row r="145" spans="1:23" ht="28.15" customHeight="1">
      <c r="A145" s="3" t="s">
        <v>1211</v>
      </c>
      <c r="B145" s="3" t="s">
        <v>1212</v>
      </c>
      <c r="C145" s="3" t="s">
        <v>1147</v>
      </c>
      <c r="D145" s="3" t="s">
        <v>1138</v>
      </c>
      <c r="E145" s="3" t="s">
        <v>261</v>
      </c>
      <c r="F145" s="3" t="s">
        <v>883</v>
      </c>
      <c r="G145" s="3"/>
      <c r="H145" s="3" t="s">
        <v>884</v>
      </c>
      <c r="I145" s="3"/>
      <c r="J145" s="3" t="s">
        <v>231</v>
      </c>
      <c r="K145" s="3" t="s">
        <v>885</v>
      </c>
      <c r="L145" s="3"/>
      <c r="M145" s="3" t="s">
        <v>1213</v>
      </c>
      <c r="N145" s="3" t="s">
        <v>1153</v>
      </c>
      <c r="O145" s="3" t="s">
        <v>43</v>
      </c>
      <c r="P145" s="3">
        <v>2</v>
      </c>
      <c r="Q145" s="3" t="s">
        <v>1214</v>
      </c>
      <c r="R145" s="3" t="s">
        <v>34</v>
      </c>
      <c r="S145" s="3" t="s">
        <v>34</v>
      </c>
      <c r="T145" s="3"/>
      <c r="U145" s="17"/>
      <c r="V145" s="17"/>
      <c r="W145" s="1"/>
    </row>
    <row r="146" spans="1:23" ht="28.15" customHeight="1">
      <c r="A146" s="3" t="s">
        <v>1215</v>
      </c>
      <c r="B146" s="3" t="s">
        <v>1216</v>
      </c>
      <c r="C146" s="3" t="s">
        <v>1147</v>
      </c>
      <c r="D146" s="3" t="s">
        <v>1138</v>
      </c>
      <c r="E146" s="3" t="s">
        <v>1217</v>
      </c>
      <c r="F146" s="3" t="s">
        <v>1218</v>
      </c>
      <c r="G146" s="3"/>
      <c r="H146" s="3" t="s">
        <v>166</v>
      </c>
      <c r="I146" s="3"/>
      <c r="J146" s="3" t="s">
        <v>39</v>
      </c>
      <c r="K146" s="3" t="s">
        <v>40</v>
      </c>
      <c r="L146" s="3"/>
      <c r="M146" s="3" t="s">
        <v>1219</v>
      </c>
      <c r="N146" s="3" t="s">
        <v>1153</v>
      </c>
      <c r="O146" s="3" t="s">
        <v>43</v>
      </c>
      <c r="P146" s="3">
        <v>1</v>
      </c>
      <c r="Q146" s="3" t="s">
        <v>1220</v>
      </c>
      <c r="R146" s="3" t="s">
        <v>34</v>
      </c>
      <c r="S146" s="3" t="s">
        <v>34</v>
      </c>
      <c r="T146" s="3"/>
      <c r="U146" s="16"/>
      <c r="V146" s="16"/>
      <c r="W146" s="1"/>
    </row>
    <row r="147" spans="1:23" ht="28.15" customHeight="1">
      <c r="A147" s="3" t="s">
        <v>1221</v>
      </c>
      <c r="B147" s="3" t="s">
        <v>1222</v>
      </c>
      <c r="C147" s="3" t="s">
        <v>1147</v>
      </c>
      <c r="D147" s="3" t="s">
        <v>1138</v>
      </c>
      <c r="E147" s="3" t="s">
        <v>1223</v>
      </c>
      <c r="F147" s="3" t="s">
        <v>1224</v>
      </c>
      <c r="G147" s="3"/>
      <c r="H147" s="3" t="s">
        <v>1225</v>
      </c>
      <c r="I147" s="3"/>
      <c r="J147" s="3" t="s">
        <v>222</v>
      </c>
      <c r="K147" s="3" t="s">
        <v>223</v>
      </c>
      <c r="L147" s="3"/>
      <c r="M147" s="3" t="s">
        <v>1226</v>
      </c>
      <c r="N147" s="3" t="s">
        <v>1153</v>
      </c>
      <c r="O147" s="3" t="s">
        <v>43</v>
      </c>
      <c r="P147" s="3">
        <v>1</v>
      </c>
      <c r="Q147" s="3" t="s">
        <v>1227</v>
      </c>
      <c r="R147" s="3" t="s">
        <v>34</v>
      </c>
      <c r="S147" s="3" t="s">
        <v>34</v>
      </c>
      <c r="T147" s="3"/>
      <c r="U147" s="17"/>
      <c r="V147" s="17"/>
      <c r="W147" s="1"/>
    </row>
    <row r="148" spans="1:23" ht="28.15" customHeight="1">
      <c r="A148" s="3" t="s">
        <v>1228</v>
      </c>
      <c r="B148" s="3" t="s">
        <v>1229</v>
      </c>
      <c r="C148" s="3" t="s">
        <v>1147</v>
      </c>
      <c r="D148" s="3" t="s">
        <v>1138</v>
      </c>
      <c r="E148" s="3" t="s">
        <v>171</v>
      </c>
      <c r="F148" s="3" t="s">
        <v>1230</v>
      </c>
      <c r="G148" s="3"/>
      <c r="H148" s="3" t="s">
        <v>1231</v>
      </c>
      <c r="I148" s="3"/>
      <c r="J148" s="3" t="s">
        <v>1232</v>
      </c>
      <c r="K148" s="3" t="s">
        <v>1233</v>
      </c>
      <c r="L148" s="3"/>
      <c r="M148" s="3" t="s">
        <v>1234</v>
      </c>
      <c r="N148" s="3" t="s">
        <v>1153</v>
      </c>
      <c r="O148" s="3" t="s">
        <v>43</v>
      </c>
      <c r="P148" s="3">
        <v>1</v>
      </c>
      <c r="Q148" s="3" t="s">
        <v>1235</v>
      </c>
      <c r="R148" s="3" t="s">
        <v>34</v>
      </c>
      <c r="S148" s="3" t="s">
        <v>34</v>
      </c>
      <c r="T148" s="3"/>
      <c r="U148" s="16"/>
      <c r="V148" s="16" t="s">
        <v>152</v>
      </c>
      <c r="W148" s="1"/>
    </row>
    <row r="149" spans="1:23" ht="28.15" customHeight="1">
      <c r="A149" s="3" t="s">
        <v>1236</v>
      </c>
      <c r="B149" s="3" t="s">
        <v>1237</v>
      </c>
      <c r="C149" s="3" t="s">
        <v>1147</v>
      </c>
      <c r="D149" s="3" t="s">
        <v>1138</v>
      </c>
      <c r="E149" s="3" t="s">
        <v>1238</v>
      </c>
      <c r="F149" s="3" t="s">
        <v>1239</v>
      </c>
      <c r="G149" s="3"/>
      <c r="H149" s="3" t="s">
        <v>1240</v>
      </c>
      <c r="I149" s="3" t="s">
        <v>1241</v>
      </c>
      <c r="J149" s="3" t="s">
        <v>70</v>
      </c>
      <c r="K149" s="3" t="s">
        <v>71</v>
      </c>
      <c r="L149" s="3"/>
      <c r="M149" s="3" t="s">
        <v>1242</v>
      </c>
      <c r="N149" s="3" t="s">
        <v>1153</v>
      </c>
      <c r="O149" s="3" t="s">
        <v>43</v>
      </c>
      <c r="P149" s="3">
        <v>1</v>
      </c>
      <c r="Q149" s="3" t="s">
        <v>1243</v>
      </c>
      <c r="R149" s="3" t="s">
        <v>34</v>
      </c>
      <c r="S149" s="3" t="s">
        <v>34</v>
      </c>
      <c r="T149" s="3"/>
      <c r="U149" s="17"/>
      <c r="V149" s="17"/>
      <c r="W149" s="1"/>
    </row>
    <row r="150" spans="1:23" ht="28.15" customHeight="1">
      <c r="A150" s="3" t="s">
        <v>1244</v>
      </c>
      <c r="B150" s="3" t="s">
        <v>1245</v>
      </c>
      <c r="C150" s="3" t="s">
        <v>1147</v>
      </c>
      <c r="D150" s="3" t="s">
        <v>1138</v>
      </c>
      <c r="E150" s="3" t="s">
        <v>171</v>
      </c>
      <c r="F150" s="3" t="s">
        <v>1246</v>
      </c>
      <c r="G150" s="3"/>
      <c r="H150" s="3" t="s">
        <v>875</v>
      </c>
      <c r="I150" s="3" t="s">
        <v>1247</v>
      </c>
      <c r="J150" s="3" t="s">
        <v>877</v>
      </c>
      <c r="K150" s="3" t="s">
        <v>878</v>
      </c>
      <c r="L150" s="3"/>
      <c r="M150" s="3" t="s">
        <v>1248</v>
      </c>
      <c r="N150" s="3" t="s">
        <v>1153</v>
      </c>
      <c r="O150" s="3" t="s">
        <v>43</v>
      </c>
      <c r="P150" s="3">
        <v>1</v>
      </c>
      <c r="Q150" s="3" t="s">
        <v>1249</v>
      </c>
      <c r="R150" s="3" t="s">
        <v>34</v>
      </c>
      <c r="S150" s="3" t="s">
        <v>34</v>
      </c>
      <c r="T150" s="3"/>
      <c r="U150" s="16"/>
      <c r="V150" s="16"/>
      <c r="W150" s="1"/>
    </row>
    <row r="151" spans="1:23" ht="28.15" customHeight="1">
      <c r="A151" s="3" t="s">
        <v>1250</v>
      </c>
      <c r="B151" s="3" t="s">
        <v>1251</v>
      </c>
      <c r="C151" s="3" t="s">
        <v>1147</v>
      </c>
      <c r="D151" s="3" t="s">
        <v>1138</v>
      </c>
      <c r="E151" s="3" t="s">
        <v>1252</v>
      </c>
      <c r="F151" s="3" t="s">
        <v>1253</v>
      </c>
      <c r="G151" s="3"/>
      <c r="H151" s="3" t="s">
        <v>1254</v>
      </c>
      <c r="I151" s="3"/>
      <c r="J151" s="3" t="s">
        <v>289</v>
      </c>
      <c r="K151" s="3" t="s">
        <v>290</v>
      </c>
      <c r="L151" s="3"/>
      <c r="M151" s="3" t="s">
        <v>1255</v>
      </c>
      <c r="N151" s="3" t="s">
        <v>1153</v>
      </c>
      <c r="O151" s="3" t="s">
        <v>43</v>
      </c>
      <c r="P151" s="3">
        <v>1</v>
      </c>
      <c r="Q151" s="3" t="s">
        <v>1256</v>
      </c>
      <c r="R151" s="3" t="s">
        <v>34</v>
      </c>
      <c r="S151" s="3" t="s">
        <v>34</v>
      </c>
      <c r="T151" s="3"/>
      <c r="U151" s="17" t="s">
        <v>1257</v>
      </c>
      <c r="V151" s="17" t="s">
        <v>55</v>
      </c>
      <c r="W151" s="1"/>
    </row>
    <row r="152" spans="1:23" ht="28.15" customHeight="1">
      <c r="A152" s="3" t="s">
        <v>1258</v>
      </c>
      <c r="B152" s="3" t="s">
        <v>1259</v>
      </c>
      <c r="C152" s="3" t="s">
        <v>1147</v>
      </c>
      <c r="D152" s="3" t="s">
        <v>1138</v>
      </c>
      <c r="E152" s="3" t="s">
        <v>1260</v>
      </c>
      <c r="F152" s="3" t="s">
        <v>1261</v>
      </c>
      <c r="G152" s="3"/>
      <c r="H152" s="3" t="s">
        <v>1262</v>
      </c>
      <c r="I152" s="3"/>
      <c r="J152" s="3">
        <v>95260</v>
      </c>
      <c r="K152" s="3" t="s">
        <v>99</v>
      </c>
      <c r="L152" s="3"/>
      <c r="M152" s="3" t="s">
        <v>1263</v>
      </c>
      <c r="N152" s="3" t="s">
        <v>1153</v>
      </c>
      <c r="O152" s="3" t="s">
        <v>43</v>
      </c>
      <c r="P152" s="3">
        <v>1</v>
      </c>
      <c r="Q152" s="3" t="s">
        <v>1264</v>
      </c>
      <c r="R152" s="3" t="s">
        <v>34</v>
      </c>
      <c r="S152" s="3" t="s">
        <v>34</v>
      </c>
      <c r="T152" s="3" t="s">
        <v>102</v>
      </c>
      <c r="U152" s="16" t="s">
        <v>1265</v>
      </c>
      <c r="V152" s="16" t="s">
        <v>55</v>
      </c>
      <c r="W152" s="1"/>
    </row>
    <row r="153" spans="1:23" ht="28.15" customHeight="1">
      <c r="A153" s="3" t="s">
        <v>1266</v>
      </c>
      <c r="B153" s="3" t="s">
        <v>1267</v>
      </c>
      <c r="C153" s="3" t="s">
        <v>1147</v>
      </c>
      <c r="D153" s="3" t="s">
        <v>1138</v>
      </c>
      <c r="E153" s="3" t="s">
        <v>1190</v>
      </c>
      <c r="F153" s="3" t="s">
        <v>1268</v>
      </c>
      <c r="G153" s="3"/>
      <c r="H153" s="3" t="s">
        <v>1269</v>
      </c>
      <c r="I153" s="3"/>
      <c r="J153" s="3" t="s">
        <v>1270</v>
      </c>
      <c r="K153" s="3" t="s">
        <v>1271</v>
      </c>
      <c r="L153" s="3"/>
      <c r="M153" s="3" t="s">
        <v>1272</v>
      </c>
      <c r="N153" s="3" t="s">
        <v>1153</v>
      </c>
      <c r="O153" s="3" t="s">
        <v>43</v>
      </c>
      <c r="P153" s="3">
        <v>1</v>
      </c>
      <c r="Q153" s="3" t="s">
        <v>1273</v>
      </c>
      <c r="R153" s="3" t="s">
        <v>34</v>
      </c>
      <c r="S153" s="3" t="s">
        <v>34</v>
      </c>
      <c r="T153" s="3"/>
      <c r="U153" s="17"/>
      <c r="V153" s="17"/>
      <c r="W153" s="1"/>
    </row>
    <row r="154" spans="1:23" ht="28.15" customHeight="1">
      <c r="A154" s="3" t="s">
        <v>1274</v>
      </c>
      <c r="B154" s="3" t="s">
        <v>1275</v>
      </c>
      <c r="C154" s="3" t="s">
        <v>1147</v>
      </c>
      <c r="D154" s="3" t="s">
        <v>1138</v>
      </c>
      <c r="E154" s="3" t="s">
        <v>1276</v>
      </c>
      <c r="F154" s="3" t="s">
        <v>1277</v>
      </c>
      <c r="G154" s="3"/>
      <c r="H154" s="3" t="s">
        <v>1278</v>
      </c>
      <c r="I154" s="3"/>
      <c r="J154" s="3" t="s">
        <v>39</v>
      </c>
      <c r="K154" s="3" t="s">
        <v>40</v>
      </c>
      <c r="L154" s="3"/>
      <c r="M154" s="3" t="s">
        <v>1279</v>
      </c>
      <c r="N154" s="3" t="s">
        <v>1153</v>
      </c>
      <c r="O154" s="3" t="s">
        <v>43</v>
      </c>
      <c r="P154" s="3">
        <v>1</v>
      </c>
      <c r="Q154" s="3" t="s">
        <v>1280</v>
      </c>
      <c r="R154" s="3" t="s">
        <v>34</v>
      </c>
      <c r="S154" s="3" t="s">
        <v>34</v>
      </c>
      <c r="T154" s="3"/>
      <c r="U154" s="16"/>
      <c r="V154" s="16"/>
      <c r="W154" s="1"/>
    </row>
    <row r="155" spans="1:23" ht="28.15" customHeight="1">
      <c r="A155" s="3" t="s">
        <v>1281</v>
      </c>
      <c r="B155" s="3" t="s">
        <v>1282</v>
      </c>
      <c r="C155" s="3" t="s">
        <v>1147</v>
      </c>
      <c r="D155" s="3" t="s">
        <v>1138</v>
      </c>
      <c r="E155" s="3" t="s">
        <v>1283</v>
      </c>
      <c r="F155" s="3" t="s">
        <v>1284</v>
      </c>
      <c r="G155" s="3"/>
      <c r="H155" s="3" t="s">
        <v>1285</v>
      </c>
      <c r="I155" s="3"/>
      <c r="J155" s="3" t="s">
        <v>1286</v>
      </c>
      <c r="K155" s="3" t="s">
        <v>1287</v>
      </c>
      <c r="L155" s="3"/>
      <c r="M155" s="3" t="s">
        <v>1288</v>
      </c>
      <c r="N155" s="3" t="s">
        <v>1153</v>
      </c>
      <c r="O155" s="3" t="s">
        <v>43</v>
      </c>
      <c r="P155" s="3">
        <v>1</v>
      </c>
      <c r="Q155" s="3" t="s">
        <v>1289</v>
      </c>
      <c r="R155" s="3" t="s">
        <v>34</v>
      </c>
      <c r="S155" s="3" t="s">
        <v>34</v>
      </c>
      <c r="T155" s="3"/>
      <c r="U155" s="17"/>
      <c r="V155" s="17" t="s">
        <v>152</v>
      </c>
      <c r="W155" s="1"/>
    </row>
    <row r="156" spans="1:23" ht="28.15" customHeight="1">
      <c r="A156" s="3" t="s">
        <v>1290</v>
      </c>
      <c r="B156" s="3" t="s">
        <v>1291</v>
      </c>
      <c r="C156" s="3" t="s">
        <v>1147</v>
      </c>
      <c r="D156" s="3" t="s">
        <v>1138</v>
      </c>
      <c r="E156" s="3" t="s">
        <v>1292</v>
      </c>
      <c r="F156" s="3" t="s">
        <v>1293</v>
      </c>
      <c r="G156" s="3"/>
      <c r="H156" s="3" t="s">
        <v>1294</v>
      </c>
      <c r="I156" s="3"/>
      <c r="J156" s="3">
        <v>60300</v>
      </c>
      <c r="K156" s="3" t="s">
        <v>1040</v>
      </c>
      <c r="L156" s="3"/>
      <c r="M156" s="3" t="s">
        <v>1295</v>
      </c>
      <c r="N156" s="3" t="s">
        <v>1153</v>
      </c>
      <c r="O156" s="3" t="s">
        <v>43</v>
      </c>
      <c r="P156" s="3">
        <v>1</v>
      </c>
      <c r="Q156" s="3" t="s">
        <v>1296</v>
      </c>
      <c r="R156" s="3" t="s">
        <v>34</v>
      </c>
      <c r="S156" s="3" t="s">
        <v>34</v>
      </c>
      <c r="T156" s="3"/>
      <c r="U156" s="16" t="s">
        <v>1297</v>
      </c>
      <c r="V156" s="16" t="s">
        <v>55</v>
      </c>
      <c r="W156" s="1"/>
    </row>
    <row r="157" spans="1:23" ht="28.15" customHeight="1">
      <c r="A157" s="3" t="s">
        <v>1298</v>
      </c>
      <c r="B157" s="3" t="s">
        <v>1299</v>
      </c>
      <c r="C157" s="3" t="s">
        <v>1147</v>
      </c>
      <c r="D157" s="3" t="s">
        <v>1138</v>
      </c>
      <c r="E157" s="3" t="s">
        <v>1300</v>
      </c>
      <c r="F157" s="3" t="s">
        <v>1301</v>
      </c>
      <c r="G157" s="3"/>
      <c r="H157" s="3" t="s">
        <v>1302</v>
      </c>
      <c r="I157" s="3"/>
      <c r="J157" s="3" t="s">
        <v>717</v>
      </c>
      <c r="K157" s="3" t="s">
        <v>394</v>
      </c>
      <c r="L157" s="3"/>
      <c r="M157" s="3" t="s">
        <v>1303</v>
      </c>
      <c r="N157" s="3" t="s">
        <v>1153</v>
      </c>
      <c r="O157" s="3" t="s">
        <v>43</v>
      </c>
      <c r="P157" s="3">
        <v>1</v>
      </c>
      <c r="Q157" s="3" t="s">
        <v>1304</v>
      </c>
      <c r="R157" s="3" t="s">
        <v>34</v>
      </c>
      <c r="S157" s="3" t="s">
        <v>34</v>
      </c>
      <c r="T157" s="3" t="s">
        <v>1305</v>
      </c>
      <c r="U157" s="17" t="s">
        <v>1306</v>
      </c>
      <c r="V157" s="17" t="s">
        <v>55</v>
      </c>
      <c r="W157" s="1"/>
    </row>
    <row r="158" spans="1:23" ht="28.15" customHeight="1">
      <c r="A158" s="3" t="s">
        <v>1307</v>
      </c>
      <c r="B158" s="3" t="s">
        <v>1308</v>
      </c>
      <c r="C158" s="3" t="s">
        <v>1147</v>
      </c>
      <c r="D158" s="3" t="s">
        <v>1138</v>
      </c>
      <c r="E158" s="3" t="s">
        <v>1309</v>
      </c>
      <c r="F158" s="3" t="s">
        <v>1310</v>
      </c>
      <c r="G158" s="3"/>
      <c r="H158" s="3" t="s">
        <v>1311</v>
      </c>
      <c r="I158" s="3"/>
      <c r="J158" s="3" t="s">
        <v>222</v>
      </c>
      <c r="K158" s="3" t="s">
        <v>223</v>
      </c>
      <c r="L158" s="3"/>
      <c r="M158" s="3" t="s">
        <v>1312</v>
      </c>
      <c r="N158" s="3" t="s">
        <v>1153</v>
      </c>
      <c r="O158" s="3" t="s">
        <v>43</v>
      </c>
      <c r="P158" s="3">
        <v>1</v>
      </c>
      <c r="Q158" s="3" t="s">
        <v>1313</v>
      </c>
      <c r="R158" s="3" t="s">
        <v>34</v>
      </c>
      <c r="S158" s="3" t="s">
        <v>34</v>
      </c>
      <c r="T158" s="3"/>
      <c r="U158" s="16"/>
      <c r="V158" s="16" t="s">
        <v>152</v>
      </c>
      <c r="W158" s="1"/>
    </row>
    <row r="159" spans="1:23" ht="28.15" customHeight="1">
      <c r="A159" s="3" t="s">
        <v>1314</v>
      </c>
      <c r="B159" s="3" t="s">
        <v>1315</v>
      </c>
      <c r="C159" s="3" t="s">
        <v>1147</v>
      </c>
      <c r="D159" s="3" t="s">
        <v>1138</v>
      </c>
      <c r="E159" s="3" t="s">
        <v>1316</v>
      </c>
      <c r="F159" s="3" t="s">
        <v>1317</v>
      </c>
      <c r="G159" s="3"/>
      <c r="H159" s="3" t="s">
        <v>1318</v>
      </c>
      <c r="I159" s="3"/>
      <c r="J159" s="3" t="s">
        <v>222</v>
      </c>
      <c r="K159" s="3" t="s">
        <v>223</v>
      </c>
      <c r="L159" s="3"/>
      <c r="M159" s="3" t="s">
        <v>1319</v>
      </c>
      <c r="N159" s="3" t="s">
        <v>1153</v>
      </c>
      <c r="O159" s="3" t="s">
        <v>43</v>
      </c>
      <c r="P159" s="3">
        <v>1</v>
      </c>
      <c r="Q159" s="3" t="s">
        <v>1320</v>
      </c>
      <c r="R159" s="3" t="s">
        <v>34</v>
      </c>
      <c r="S159" s="3" t="s">
        <v>34</v>
      </c>
      <c r="T159" s="3"/>
      <c r="U159" s="17"/>
      <c r="V159" s="17" t="s">
        <v>152</v>
      </c>
      <c r="W159" s="1"/>
    </row>
    <row r="160" spans="1:23" ht="28.15" customHeight="1">
      <c r="A160" s="3" t="s">
        <v>1321</v>
      </c>
      <c r="B160" s="3" t="s">
        <v>1322</v>
      </c>
      <c r="C160" s="3" t="s">
        <v>1147</v>
      </c>
      <c r="D160" s="3" t="s">
        <v>1138</v>
      </c>
      <c r="E160" s="3" t="s">
        <v>1323</v>
      </c>
      <c r="F160" s="3" t="s">
        <v>1324</v>
      </c>
      <c r="G160" s="3"/>
      <c r="H160" s="3" t="s">
        <v>79</v>
      </c>
      <c r="I160" s="3"/>
      <c r="J160" s="3" t="s">
        <v>80</v>
      </c>
      <c r="K160" s="3" t="s">
        <v>81</v>
      </c>
      <c r="L160" s="3"/>
      <c r="M160" s="3" t="s">
        <v>1325</v>
      </c>
      <c r="N160" s="3" t="s">
        <v>1153</v>
      </c>
      <c r="O160" s="3" t="s">
        <v>43</v>
      </c>
      <c r="P160" s="3">
        <v>1</v>
      </c>
      <c r="Q160" s="3" t="s">
        <v>1326</v>
      </c>
      <c r="R160" s="3" t="s">
        <v>34</v>
      </c>
      <c r="S160" s="3" t="s">
        <v>34</v>
      </c>
      <c r="T160" s="3"/>
      <c r="U160" s="16"/>
      <c r="V160" s="16"/>
      <c r="W160" s="1"/>
    </row>
    <row r="161" spans="1:23" ht="28.15" customHeight="1">
      <c r="A161" s="3" t="s">
        <v>1327</v>
      </c>
      <c r="B161" s="3" t="s">
        <v>1328</v>
      </c>
      <c r="C161" s="3" t="s">
        <v>1147</v>
      </c>
      <c r="D161" s="3" t="s">
        <v>1138</v>
      </c>
      <c r="E161" s="3" t="s">
        <v>1329</v>
      </c>
      <c r="F161" s="3" t="s">
        <v>1330</v>
      </c>
      <c r="G161" s="3"/>
      <c r="H161" s="3" t="s">
        <v>1331</v>
      </c>
      <c r="I161" s="3"/>
      <c r="J161" s="3" t="s">
        <v>203</v>
      </c>
      <c r="K161" s="3" t="s">
        <v>204</v>
      </c>
      <c r="L161" s="3"/>
      <c r="M161" s="3" t="s">
        <v>1332</v>
      </c>
      <c r="N161" s="3" t="s">
        <v>838</v>
      </c>
      <c r="O161" s="3" t="s">
        <v>43</v>
      </c>
      <c r="P161" s="3">
        <v>1</v>
      </c>
      <c r="Q161" s="3" t="s">
        <v>1333</v>
      </c>
      <c r="R161" s="3" t="s">
        <v>34</v>
      </c>
      <c r="S161" s="3" t="s">
        <v>34</v>
      </c>
      <c r="T161" s="3"/>
      <c r="U161" s="17"/>
      <c r="V161" s="17"/>
      <c r="W161" s="1"/>
    </row>
    <row r="162" spans="1:23" ht="28.15" customHeight="1">
      <c r="A162" s="3" t="s">
        <v>1334</v>
      </c>
      <c r="B162" s="3" t="s">
        <v>1335</v>
      </c>
      <c r="C162" s="3" t="s">
        <v>1147</v>
      </c>
      <c r="D162" s="3" t="s">
        <v>1138</v>
      </c>
      <c r="E162" s="3" t="s">
        <v>1336</v>
      </c>
      <c r="F162" s="3" t="s">
        <v>1337</v>
      </c>
      <c r="G162" s="3"/>
      <c r="H162" s="3" t="s">
        <v>1338</v>
      </c>
      <c r="I162" s="3"/>
      <c r="J162" s="3" t="s">
        <v>39</v>
      </c>
      <c r="K162" s="3" t="s">
        <v>40</v>
      </c>
      <c r="L162" s="3"/>
      <c r="M162" s="3" t="s">
        <v>1339</v>
      </c>
      <c r="N162" s="3" t="s">
        <v>1153</v>
      </c>
      <c r="O162" s="3" t="s">
        <v>43</v>
      </c>
      <c r="P162" s="3">
        <v>2</v>
      </c>
      <c r="Q162" s="3" t="s">
        <v>1340</v>
      </c>
      <c r="R162" s="3" t="s">
        <v>34</v>
      </c>
      <c r="S162" s="3" t="s">
        <v>34</v>
      </c>
      <c r="T162" s="3"/>
      <c r="U162" s="16"/>
      <c r="V162" s="16"/>
      <c r="W162" s="1"/>
    </row>
    <row r="163" spans="1:23" ht="28.15" customHeight="1">
      <c r="A163" s="3" t="s">
        <v>1341</v>
      </c>
      <c r="B163" s="3" t="s">
        <v>1342</v>
      </c>
      <c r="C163" s="3" t="s">
        <v>1147</v>
      </c>
      <c r="D163" s="3" t="s">
        <v>1138</v>
      </c>
      <c r="E163" s="3" t="s">
        <v>630</v>
      </c>
      <c r="F163" s="3" t="s">
        <v>1343</v>
      </c>
      <c r="G163" s="3"/>
      <c r="H163" s="3" t="s">
        <v>650</v>
      </c>
      <c r="I163" s="3"/>
      <c r="J163" s="3" t="s">
        <v>651</v>
      </c>
      <c r="K163" s="3" t="s">
        <v>652</v>
      </c>
      <c r="L163" s="3"/>
      <c r="M163" s="3" t="s">
        <v>1344</v>
      </c>
      <c r="N163" s="3" t="s">
        <v>1153</v>
      </c>
      <c r="O163" s="3" t="s">
        <v>43</v>
      </c>
      <c r="P163" s="3">
        <v>1</v>
      </c>
      <c r="Q163" s="3" t="s">
        <v>1345</v>
      </c>
      <c r="R163" s="3" t="s">
        <v>34</v>
      </c>
      <c r="S163" s="3" t="s">
        <v>34</v>
      </c>
      <c r="T163" s="3"/>
      <c r="U163" s="17"/>
      <c r="V163" s="17"/>
      <c r="W163" s="1"/>
    </row>
    <row r="164" spans="1:23" ht="28.15" customHeight="1">
      <c r="A164" s="3" t="s">
        <v>1346</v>
      </c>
      <c r="B164" s="3" t="s">
        <v>1347</v>
      </c>
      <c r="C164" s="3" t="s">
        <v>1147</v>
      </c>
      <c r="D164" s="3" t="s">
        <v>1138</v>
      </c>
      <c r="E164" s="3" t="s">
        <v>630</v>
      </c>
      <c r="F164" s="3" t="s">
        <v>1348</v>
      </c>
      <c r="G164" s="3"/>
      <c r="H164" s="3" t="s">
        <v>221</v>
      </c>
      <c r="I164" s="3"/>
      <c r="J164" s="3" t="s">
        <v>222</v>
      </c>
      <c r="K164" s="3" t="s">
        <v>223</v>
      </c>
      <c r="L164" s="3"/>
      <c r="M164" s="3" t="s">
        <v>1349</v>
      </c>
      <c r="N164" s="3" t="s">
        <v>1153</v>
      </c>
      <c r="O164" s="3" t="s">
        <v>43</v>
      </c>
      <c r="P164" s="3">
        <v>2</v>
      </c>
      <c r="Q164" s="3" t="s">
        <v>1350</v>
      </c>
      <c r="R164" s="3" t="s">
        <v>34</v>
      </c>
      <c r="S164" s="3" t="s">
        <v>34</v>
      </c>
      <c r="T164" s="3"/>
      <c r="U164" s="16"/>
      <c r="V164" s="16"/>
      <c r="W164" s="1"/>
    </row>
    <row r="165" spans="1:23" ht="28.15" customHeight="1">
      <c r="A165" s="3" t="s">
        <v>1351</v>
      </c>
      <c r="B165" s="3" t="s">
        <v>1352</v>
      </c>
      <c r="C165" s="3" t="s">
        <v>1147</v>
      </c>
      <c r="D165" s="3" t="s">
        <v>1138</v>
      </c>
      <c r="E165" s="3" t="s">
        <v>1353</v>
      </c>
      <c r="F165" s="3" t="s">
        <v>1354</v>
      </c>
      <c r="G165" s="3"/>
      <c r="H165" s="3" t="s">
        <v>1355</v>
      </c>
      <c r="I165" s="3" t="s">
        <v>1356</v>
      </c>
      <c r="J165" s="3" t="s">
        <v>203</v>
      </c>
      <c r="K165" s="3" t="s">
        <v>204</v>
      </c>
      <c r="L165" s="3"/>
      <c r="M165" s="3" t="s">
        <v>1357</v>
      </c>
      <c r="N165" s="3" t="s">
        <v>1153</v>
      </c>
      <c r="O165" s="3" t="s">
        <v>43</v>
      </c>
      <c r="P165" s="3">
        <v>1</v>
      </c>
      <c r="Q165" s="3" t="s">
        <v>1358</v>
      </c>
      <c r="R165" s="3" t="s">
        <v>34</v>
      </c>
      <c r="S165" s="3" t="s">
        <v>34</v>
      </c>
      <c r="T165" s="3"/>
      <c r="U165" s="17"/>
      <c r="V165" s="17"/>
      <c r="W165" s="1"/>
    </row>
    <row r="166" spans="1:23" ht="28.15" customHeight="1">
      <c r="A166" s="3" t="s">
        <v>1359</v>
      </c>
      <c r="B166" s="3" t="s">
        <v>1360</v>
      </c>
      <c r="C166" s="3" t="s">
        <v>1147</v>
      </c>
      <c r="D166" s="3" t="s">
        <v>1138</v>
      </c>
      <c r="E166" s="3" t="s">
        <v>1361</v>
      </c>
      <c r="F166" s="3" t="s">
        <v>1362</v>
      </c>
      <c r="G166" s="3"/>
      <c r="H166" s="3" t="s">
        <v>1363</v>
      </c>
      <c r="I166" s="3" t="s">
        <v>1364</v>
      </c>
      <c r="J166" s="3" t="s">
        <v>364</v>
      </c>
      <c r="K166" s="3" t="s">
        <v>365</v>
      </c>
      <c r="L166" s="3"/>
      <c r="M166" s="3" t="s">
        <v>1365</v>
      </c>
      <c r="N166" s="3" t="s">
        <v>1153</v>
      </c>
      <c r="O166" s="3" t="s">
        <v>43</v>
      </c>
      <c r="P166" s="3">
        <v>1</v>
      </c>
      <c r="Q166" s="3" t="s">
        <v>1366</v>
      </c>
      <c r="R166" s="3" t="s">
        <v>34</v>
      </c>
      <c r="S166" s="3" t="s">
        <v>34</v>
      </c>
      <c r="T166" s="3"/>
      <c r="U166" s="16"/>
      <c r="V166" s="16"/>
      <c r="W166" s="1"/>
    </row>
    <row r="167" spans="1:23" ht="28.15" customHeight="1">
      <c r="A167" s="3" t="s">
        <v>1367</v>
      </c>
      <c r="B167" s="3" t="s">
        <v>1368</v>
      </c>
      <c r="C167" s="3" t="s">
        <v>1147</v>
      </c>
      <c r="D167" s="3" t="s">
        <v>1138</v>
      </c>
      <c r="E167" s="3" t="s">
        <v>1369</v>
      </c>
      <c r="F167" s="3" t="s">
        <v>1370</v>
      </c>
      <c r="G167" s="3"/>
      <c r="H167" s="3" t="s">
        <v>1371</v>
      </c>
      <c r="I167" s="3"/>
      <c r="J167" s="3" t="s">
        <v>1372</v>
      </c>
      <c r="K167" s="3" t="s">
        <v>1373</v>
      </c>
      <c r="L167" s="3"/>
      <c r="M167" s="3" t="s">
        <v>1374</v>
      </c>
      <c r="N167" s="3" t="s">
        <v>1153</v>
      </c>
      <c r="O167" s="3" t="s">
        <v>43</v>
      </c>
      <c r="P167" s="3">
        <v>1</v>
      </c>
      <c r="Q167" s="3" t="s">
        <v>1375</v>
      </c>
      <c r="R167" s="3" t="s">
        <v>34</v>
      </c>
      <c r="S167" s="3" t="s">
        <v>34</v>
      </c>
      <c r="T167" s="3"/>
      <c r="U167" s="17"/>
      <c r="V167" s="17" t="s">
        <v>152</v>
      </c>
      <c r="W167" s="1"/>
    </row>
    <row r="168" spans="1:23" ht="28.15" customHeight="1">
      <c r="A168" s="3" t="s">
        <v>1376</v>
      </c>
      <c r="B168" s="3" t="s">
        <v>1377</v>
      </c>
      <c r="C168" s="3" t="s">
        <v>1147</v>
      </c>
      <c r="D168" s="3" t="s">
        <v>1138</v>
      </c>
      <c r="E168" s="3" t="s">
        <v>946</v>
      </c>
      <c r="F168" s="3" t="s">
        <v>1378</v>
      </c>
      <c r="G168" s="3"/>
      <c r="H168" s="3" t="s">
        <v>1379</v>
      </c>
      <c r="I168" s="3"/>
      <c r="J168" s="3" t="s">
        <v>1380</v>
      </c>
      <c r="K168" s="3" t="s">
        <v>1381</v>
      </c>
      <c r="L168" s="3"/>
      <c r="M168" s="3" t="s">
        <v>1382</v>
      </c>
      <c r="N168" s="3" t="s">
        <v>1153</v>
      </c>
      <c r="O168" s="3" t="s">
        <v>43</v>
      </c>
      <c r="P168" s="3">
        <v>1</v>
      </c>
      <c r="Q168" s="3" t="s">
        <v>1383</v>
      </c>
      <c r="R168" s="3" t="s">
        <v>34</v>
      </c>
      <c r="S168" s="3" t="s">
        <v>34</v>
      </c>
      <c r="T168" s="3"/>
      <c r="U168" s="16"/>
      <c r="V168" s="16"/>
      <c r="W168" s="1"/>
    </row>
    <row r="169" spans="1:23" ht="28.15" customHeight="1">
      <c r="A169" s="3" t="s">
        <v>1384</v>
      </c>
      <c r="B169" s="3" t="s">
        <v>1385</v>
      </c>
      <c r="C169" s="3" t="s">
        <v>1147</v>
      </c>
      <c r="D169" s="3" t="s">
        <v>1138</v>
      </c>
      <c r="E169" s="3" t="s">
        <v>1386</v>
      </c>
      <c r="F169" s="3" t="s">
        <v>1387</v>
      </c>
      <c r="G169" s="3"/>
      <c r="H169" s="3" t="s">
        <v>538</v>
      </c>
      <c r="I169" s="3"/>
      <c r="J169" s="3" t="s">
        <v>539</v>
      </c>
      <c r="K169" s="3" t="s">
        <v>540</v>
      </c>
      <c r="L169" s="3"/>
      <c r="M169" s="3" t="s">
        <v>1388</v>
      </c>
      <c r="N169" s="3" t="s">
        <v>1153</v>
      </c>
      <c r="O169" s="3" t="s">
        <v>43</v>
      </c>
      <c r="P169" s="3">
        <v>1</v>
      </c>
      <c r="Q169" s="3" t="s">
        <v>1389</v>
      </c>
      <c r="R169" s="3" t="s">
        <v>34</v>
      </c>
      <c r="S169" s="3" t="s">
        <v>34</v>
      </c>
      <c r="T169" s="3"/>
      <c r="U169" s="17"/>
      <c r="V169" s="17" t="s">
        <v>152</v>
      </c>
      <c r="W169" s="1"/>
    </row>
    <row r="170" spans="1:23" ht="28.15" customHeight="1">
      <c r="A170" s="3" t="s">
        <v>1390</v>
      </c>
      <c r="B170" s="3" t="s">
        <v>1391</v>
      </c>
      <c r="C170" s="3" t="s">
        <v>1147</v>
      </c>
      <c r="D170" s="3" t="s">
        <v>1138</v>
      </c>
      <c r="E170" s="3" t="s">
        <v>1392</v>
      </c>
      <c r="F170" s="3" t="s">
        <v>1393</v>
      </c>
      <c r="G170" s="3"/>
      <c r="H170" s="3" t="s">
        <v>1394</v>
      </c>
      <c r="I170" s="3"/>
      <c r="J170" s="3" t="s">
        <v>39</v>
      </c>
      <c r="K170" s="3" t="s">
        <v>1070</v>
      </c>
      <c r="L170" s="3"/>
      <c r="M170" s="3" t="s">
        <v>1395</v>
      </c>
      <c r="N170" s="3" t="s">
        <v>1153</v>
      </c>
      <c r="O170" s="3" t="s">
        <v>43</v>
      </c>
      <c r="P170" s="3">
        <v>1</v>
      </c>
      <c r="Q170" s="3" t="s">
        <v>1396</v>
      </c>
      <c r="R170" s="3" t="s">
        <v>34</v>
      </c>
      <c r="S170" s="3" t="s">
        <v>34</v>
      </c>
      <c r="T170" s="3"/>
      <c r="U170" s="16"/>
      <c r="V170" s="16"/>
      <c r="W170" s="1"/>
    </row>
    <row r="171" spans="1:23" ht="28.15" customHeight="1">
      <c r="A171" s="3" t="s">
        <v>1397</v>
      </c>
      <c r="B171" s="3" t="s">
        <v>1398</v>
      </c>
      <c r="C171" s="3" t="s">
        <v>1138</v>
      </c>
      <c r="D171" s="3" t="s">
        <v>1138</v>
      </c>
      <c r="E171" s="3" t="s">
        <v>1139</v>
      </c>
      <c r="F171" s="3" t="s">
        <v>1399</v>
      </c>
      <c r="G171" s="3"/>
      <c r="H171" s="3" t="s">
        <v>1141</v>
      </c>
      <c r="I171" s="3" t="s">
        <v>221</v>
      </c>
      <c r="J171" s="3" t="s">
        <v>222</v>
      </c>
      <c r="K171" s="3" t="s">
        <v>223</v>
      </c>
      <c r="L171" s="3"/>
      <c r="M171" s="3" t="s">
        <v>1400</v>
      </c>
      <c r="N171" s="3" t="s">
        <v>1143</v>
      </c>
      <c r="O171" s="3" t="s">
        <v>43</v>
      </c>
      <c r="P171" s="3">
        <v>1</v>
      </c>
      <c r="Q171" s="3" t="s">
        <v>1401</v>
      </c>
      <c r="R171" s="3" t="s">
        <v>34</v>
      </c>
      <c r="S171" s="3" t="s">
        <v>34</v>
      </c>
      <c r="T171" s="3"/>
      <c r="U171" s="17"/>
      <c r="V171" s="17" t="s">
        <v>152</v>
      </c>
      <c r="W171" s="1"/>
    </row>
    <row r="172" spans="1:23" ht="28.15" customHeight="1">
      <c r="A172" s="3" t="s">
        <v>1402</v>
      </c>
      <c r="B172" s="3" t="s">
        <v>1403</v>
      </c>
      <c r="C172" s="3" t="s">
        <v>1404</v>
      </c>
      <c r="D172" s="3" t="s">
        <v>1405</v>
      </c>
      <c r="E172" s="3" t="s">
        <v>58</v>
      </c>
      <c r="F172" s="3" t="s">
        <v>1406</v>
      </c>
      <c r="G172" s="3"/>
      <c r="H172" s="3" t="s">
        <v>1407</v>
      </c>
      <c r="I172" s="3"/>
      <c r="J172" s="3" t="s">
        <v>39</v>
      </c>
      <c r="K172" s="3" t="s">
        <v>1070</v>
      </c>
      <c r="L172" s="3"/>
      <c r="M172" s="3" t="s">
        <v>1408</v>
      </c>
      <c r="N172" s="3" t="s">
        <v>1409</v>
      </c>
      <c r="O172" s="3" t="s">
        <v>43</v>
      </c>
      <c r="P172" s="3">
        <v>1</v>
      </c>
      <c r="Q172" s="3" t="s">
        <v>1410</v>
      </c>
      <c r="R172" s="3" t="s">
        <v>34</v>
      </c>
      <c r="S172" s="3" t="s">
        <v>34</v>
      </c>
      <c r="T172" s="3"/>
      <c r="U172" s="16"/>
      <c r="V172" s="16"/>
      <c r="W172" s="1"/>
    </row>
    <row r="173" spans="1:23" ht="28.15" customHeight="1">
      <c r="A173" s="3" t="s">
        <v>1411</v>
      </c>
      <c r="B173" s="3" t="s">
        <v>1412</v>
      </c>
      <c r="C173" s="3" t="s">
        <v>1404</v>
      </c>
      <c r="D173" s="3" t="s">
        <v>1405</v>
      </c>
      <c r="E173" s="3" t="s">
        <v>1413</v>
      </c>
      <c r="F173" s="3" t="s">
        <v>1414</v>
      </c>
      <c r="G173" s="3"/>
      <c r="H173" s="3" t="s">
        <v>1415</v>
      </c>
      <c r="I173" s="3" t="s">
        <v>1416</v>
      </c>
      <c r="J173" s="3" t="s">
        <v>203</v>
      </c>
      <c r="K173" s="3" t="s">
        <v>204</v>
      </c>
      <c r="L173" s="3"/>
      <c r="M173" s="3" t="s">
        <v>1417</v>
      </c>
      <c r="N173" s="3" t="s">
        <v>838</v>
      </c>
      <c r="O173" s="3" t="s">
        <v>43</v>
      </c>
      <c r="P173" s="3">
        <v>1</v>
      </c>
      <c r="Q173" s="3" t="s">
        <v>1418</v>
      </c>
      <c r="R173" s="3" t="s">
        <v>34</v>
      </c>
      <c r="S173" s="3" t="s">
        <v>34</v>
      </c>
      <c r="T173" s="3"/>
      <c r="U173" s="17"/>
      <c r="V173" s="17"/>
      <c r="W173" s="1"/>
    </row>
    <row r="174" spans="1:23" ht="28.15" customHeight="1">
      <c r="A174" s="3" t="s">
        <v>1419</v>
      </c>
      <c r="B174" s="3" t="s">
        <v>1420</v>
      </c>
      <c r="C174" s="3" t="s">
        <v>1404</v>
      </c>
      <c r="D174" s="3" t="s">
        <v>1405</v>
      </c>
      <c r="E174" s="3" t="s">
        <v>1421</v>
      </c>
      <c r="F174" s="3" t="s">
        <v>1422</v>
      </c>
      <c r="G174" s="3"/>
      <c r="H174" s="3" t="s">
        <v>1423</v>
      </c>
      <c r="I174" s="3"/>
      <c r="J174" s="3" t="s">
        <v>466</v>
      </c>
      <c r="K174" s="3" t="s">
        <v>467</v>
      </c>
      <c r="L174" s="3"/>
      <c r="M174" s="3" t="s">
        <v>1424</v>
      </c>
      <c r="N174" s="3" t="s">
        <v>1409</v>
      </c>
      <c r="O174" s="3" t="s">
        <v>43</v>
      </c>
      <c r="P174" s="3">
        <v>2</v>
      </c>
      <c r="Q174" s="3" t="s">
        <v>1425</v>
      </c>
      <c r="R174" s="3" t="s">
        <v>34</v>
      </c>
      <c r="S174" s="3" t="s">
        <v>34</v>
      </c>
      <c r="T174" s="3"/>
      <c r="U174" s="16"/>
      <c r="V174" s="16"/>
      <c r="W174" s="1"/>
    </row>
    <row r="175" spans="1:23" ht="28.15" customHeight="1">
      <c r="A175" s="3" t="s">
        <v>1426</v>
      </c>
      <c r="B175" s="3" t="s">
        <v>1427</v>
      </c>
      <c r="C175" s="3" t="s">
        <v>1404</v>
      </c>
      <c r="D175" s="3" t="s">
        <v>1405</v>
      </c>
      <c r="E175" s="3" t="s">
        <v>1428</v>
      </c>
      <c r="F175" s="3" t="s">
        <v>1429</v>
      </c>
      <c r="G175" s="3"/>
      <c r="H175" s="3" t="s">
        <v>1430</v>
      </c>
      <c r="I175" s="3"/>
      <c r="J175" s="3" t="s">
        <v>1431</v>
      </c>
      <c r="K175" s="3" t="s">
        <v>1432</v>
      </c>
      <c r="L175" s="3"/>
      <c r="M175" s="3" t="s">
        <v>1433</v>
      </c>
      <c r="N175" s="3" t="s">
        <v>1409</v>
      </c>
      <c r="O175" s="3" t="s">
        <v>43</v>
      </c>
      <c r="P175" s="3">
        <v>1</v>
      </c>
      <c r="Q175" s="3" t="s">
        <v>1434</v>
      </c>
      <c r="R175" s="3" t="s">
        <v>34</v>
      </c>
      <c r="S175" s="3" t="s">
        <v>34</v>
      </c>
      <c r="T175" s="3"/>
      <c r="U175" s="17"/>
      <c r="V175" s="17" t="s">
        <v>152</v>
      </c>
      <c r="W175" s="1"/>
    </row>
    <row r="176" spans="1:23" ht="28.15" customHeight="1">
      <c r="A176" s="3" t="s">
        <v>1435</v>
      </c>
      <c r="B176" s="3" t="s">
        <v>1436</v>
      </c>
      <c r="C176" s="3" t="s">
        <v>1404</v>
      </c>
      <c r="D176" s="3" t="s">
        <v>1405</v>
      </c>
      <c r="E176" s="3" t="s">
        <v>1105</v>
      </c>
      <c r="F176" s="3" t="s">
        <v>1268</v>
      </c>
      <c r="G176" s="3"/>
      <c r="H176" s="3" t="s">
        <v>1437</v>
      </c>
      <c r="I176" s="3"/>
      <c r="J176" s="3" t="s">
        <v>1438</v>
      </c>
      <c r="K176" s="3" t="s">
        <v>1439</v>
      </c>
      <c r="L176" s="3"/>
      <c r="M176" s="3" t="s">
        <v>1440</v>
      </c>
      <c r="N176" s="3" t="s">
        <v>1409</v>
      </c>
      <c r="O176" s="3" t="s">
        <v>43</v>
      </c>
      <c r="P176" s="3">
        <v>1</v>
      </c>
      <c r="Q176" s="3" t="s">
        <v>1441</v>
      </c>
      <c r="R176" s="3" t="s">
        <v>34</v>
      </c>
      <c r="S176" s="3" t="s">
        <v>34</v>
      </c>
      <c r="T176" s="3"/>
      <c r="U176" s="16"/>
      <c r="V176" s="16" t="s">
        <v>152</v>
      </c>
      <c r="W176" s="1"/>
    </row>
    <row r="177" spans="1:23" ht="28.15" customHeight="1">
      <c r="A177" s="3" t="s">
        <v>1442</v>
      </c>
      <c r="B177" s="3" t="s">
        <v>1443</v>
      </c>
      <c r="C177" s="3" t="s">
        <v>1404</v>
      </c>
      <c r="D177" s="3" t="s">
        <v>1405</v>
      </c>
      <c r="E177" s="3" t="s">
        <v>1444</v>
      </c>
      <c r="F177" s="3" t="s">
        <v>1445</v>
      </c>
      <c r="G177" s="3"/>
      <c r="H177" s="3" t="s">
        <v>1446</v>
      </c>
      <c r="I177" s="3"/>
      <c r="J177" s="3" t="s">
        <v>1447</v>
      </c>
      <c r="K177" s="3" t="s">
        <v>1448</v>
      </c>
      <c r="L177" s="3"/>
      <c r="M177" s="3" t="s">
        <v>1449</v>
      </c>
      <c r="N177" s="3" t="s">
        <v>1409</v>
      </c>
      <c r="O177" s="3" t="s">
        <v>43</v>
      </c>
      <c r="P177" s="3">
        <v>1</v>
      </c>
      <c r="Q177" s="3" t="s">
        <v>1450</v>
      </c>
      <c r="R177" s="3" t="s">
        <v>34</v>
      </c>
      <c r="S177" s="3" t="s">
        <v>34</v>
      </c>
      <c r="T177" s="3"/>
      <c r="U177" s="17"/>
      <c r="V177" s="17"/>
      <c r="W177" s="1"/>
    </row>
    <row r="178" spans="1:23" ht="28.15" customHeight="1">
      <c r="A178" s="3" t="s">
        <v>1451</v>
      </c>
      <c r="B178" s="3" t="s">
        <v>1452</v>
      </c>
      <c r="C178" s="3" t="s">
        <v>1404</v>
      </c>
      <c r="D178" s="3" t="s">
        <v>1405</v>
      </c>
      <c r="E178" s="3" t="s">
        <v>1453</v>
      </c>
      <c r="F178" s="3" t="s">
        <v>1454</v>
      </c>
      <c r="G178" s="3"/>
      <c r="H178" s="3" t="s">
        <v>166</v>
      </c>
      <c r="I178" s="3"/>
      <c r="J178" s="3" t="s">
        <v>39</v>
      </c>
      <c r="K178" s="3" t="s">
        <v>40</v>
      </c>
      <c r="L178" s="3"/>
      <c r="M178" s="3" t="s">
        <v>1455</v>
      </c>
      <c r="N178" s="3" t="s">
        <v>1409</v>
      </c>
      <c r="O178" s="3" t="s">
        <v>43</v>
      </c>
      <c r="P178" s="3">
        <v>1</v>
      </c>
      <c r="Q178" s="3" t="s">
        <v>1456</v>
      </c>
      <c r="R178" s="3" t="s">
        <v>34</v>
      </c>
      <c r="S178" s="3" t="s">
        <v>34</v>
      </c>
      <c r="T178" s="3"/>
      <c r="U178" s="17"/>
      <c r="V178" s="17"/>
      <c r="W178" s="1"/>
    </row>
    <row r="179" spans="1:23" ht="28.15" customHeight="1">
      <c r="A179" s="3" t="s">
        <v>1457</v>
      </c>
      <c r="B179" s="3" t="s">
        <v>1458</v>
      </c>
      <c r="C179" s="3" t="s">
        <v>1404</v>
      </c>
      <c r="D179" s="3" t="s">
        <v>1405</v>
      </c>
      <c r="E179" s="3" t="s">
        <v>1459</v>
      </c>
      <c r="F179" s="3" t="s">
        <v>890</v>
      </c>
      <c r="G179" s="3"/>
      <c r="H179" s="3" t="s">
        <v>1460</v>
      </c>
      <c r="I179" s="3"/>
      <c r="J179" s="3" t="s">
        <v>1461</v>
      </c>
      <c r="K179" s="3" t="s">
        <v>1462</v>
      </c>
      <c r="L179" s="3"/>
      <c r="M179" s="3" t="s">
        <v>1463</v>
      </c>
      <c r="N179" s="3" t="s">
        <v>1409</v>
      </c>
      <c r="O179" s="3" t="s">
        <v>43</v>
      </c>
      <c r="P179" s="3">
        <v>1</v>
      </c>
      <c r="Q179" s="3" t="s">
        <v>1464</v>
      </c>
      <c r="R179" s="3" t="s">
        <v>34</v>
      </c>
      <c r="S179" s="3" t="s">
        <v>34</v>
      </c>
      <c r="T179" s="3"/>
      <c r="U179" s="16"/>
      <c r="V179" s="16"/>
      <c r="W179" s="1"/>
    </row>
    <row r="180" spans="1:23" ht="28.15" customHeight="1">
      <c r="A180" s="3" t="s">
        <v>1465</v>
      </c>
      <c r="B180" s="3" t="s">
        <v>1466</v>
      </c>
      <c r="C180" s="3" t="s">
        <v>1404</v>
      </c>
      <c r="D180" s="3" t="s">
        <v>1405</v>
      </c>
      <c r="E180" s="3" t="s">
        <v>1467</v>
      </c>
      <c r="F180" s="3" t="s">
        <v>1468</v>
      </c>
      <c r="G180" s="3"/>
      <c r="H180" s="3" t="s">
        <v>608</v>
      </c>
      <c r="I180" s="3"/>
      <c r="J180" s="3">
        <v>95260</v>
      </c>
      <c r="K180" s="3" t="s">
        <v>99</v>
      </c>
      <c r="L180" s="3"/>
      <c r="M180" s="3" t="s">
        <v>1469</v>
      </c>
      <c r="N180" s="3" t="s">
        <v>1409</v>
      </c>
      <c r="O180" s="3" t="s">
        <v>43</v>
      </c>
      <c r="P180" s="3">
        <v>1</v>
      </c>
      <c r="Q180" s="3" t="s">
        <v>1470</v>
      </c>
      <c r="R180" s="3" t="s">
        <v>34</v>
      </c>
      <c r="S180" s="3" t="s">
        <v>34</v>
      </c>
      <c r="T180" s="3" t="s">
        <v>102</v>
      </c>
      <c r="U180" s="17" t="s">
        <v>1471</v>
      </c>
      <c r="V180" s="17" t="s">
        <v>55</v>
      </c>
      <c r="W180" s="1"/>
    </row>
    <row r="181" spans="1:23" ht="28.15" customHeight="1">
      <c r="A181" s="3" t="s">
        <v>1472</v>
      </c>
      <c r="B181" s="3" t="s">
        <v>1473</v>
      </c>
      <c r="C181" s="3" t="s">
        <v>1404</v>
      </c>
      <c r="D181" s="3" t="s">
        <v>1405</v>
      </c>
      <c r="E181" s="3" t="s">
        <v>1474</v>
      </c>
      <c r="F181" s="3" t="s">
        <v>1475</v>
      </c>
      <c r="G181" s="3"/>
      <c r="H181" s="3" t="s">
        <v>1476</v>
      </c>
      <c r="I181" s="3"/>
      <c r="J181" s="3" t="s">
        <v>1477</v>
      </c>
      <c r="K181" s="3" t="s">
        <v>1478</v>
      </c>
      <c r="L181" s="3"/>
      <c r="M181" s="3" t="s">
        <v>1479</v>
      </c>
      <c r="N181" s="3" t="s">
        <v>1409</v>
      </c>
      <c r="O181" s="3" t="s">
        <v>43</v>
      </c>
      <c r="P181" s="3">
        <v>1</v>
      </c>
      <c r="Q181" s="3" t="s">
        <v>1480</v>
      </c>
      <c r="R181" s="3" t="s">
        <v>34</v>
      </c>
      <c r="S181" s="3" t="s">
        <v>34</v>
      </c>
      <c r="T181" s="3"/>
      <c r="U181" s="16"/>
      <c r="V181" s="16" t="s">
        <v>152</v>
      </c>
      <c r="W181" s="1"/>
    </row>
    <row r="182" spans="1:23" ht="28.15" customHeight="1">
      <c r="A182" s="3" t="s">
        <v>1481</v>
      </c>
      <c r="B182" s="3" t="s">
        <v>1482</v>
      </c>
      <c r="C182" s="3" t="s">
        <v>1404</v>
      </c>
      <c r="D182" s="3" t="s">
        <v>1405</v>
      </c>
      <c r="E182" s="3" t="s">
        <v>1474</v>
      </c>
      <c r="F182" s="3" t="s">
        <v>1483</v>
      </c>
      <c r="G182" s="3"/>
      <c r="H182" s="3" t="s">
        <v>1484</v>
      </c>
      <c r="I182" s="3"/>
      <c r="J182" s="3" t="s">
        <v>28</v>
      </c>
      <c r="K182" s="3" t="s">
        <v>29</v>
      </c>
      <c r="L182" s="3"/>
      <c r="M182" s="3" t="s">
        <v>1485</v>
      </c>
      <c r="N182" s="3" t="s">
        <v>1409</v>
      </c>
      <c r="O182" s="3" t="s">
        <v>43</v>
      </c>
      <c r="P182" s="3">
        <v>1</v>
      </c>
      <c r="Q182" s="3" t="s">
        <v>1486</v>
      </c>
      <c r="R182" s="3" t="s">
        <v>34</v>
      </c>
      <c r="S182" s="3" t="s">
        <v>34</v>
      </c>
      <c r="T182" s="3"/>
      <c r="U182" s="17"/>
      <c r="V182" s="17"/>
      <c r="W182" s="1"/>
    </row>
    <row r="183" spans="1:23" ht="28.15" customHeight="1">
      <c r="A183" s="3" t="s">
        <v>1487</v>
      </c>
      <c r="B183" s="3" t="s">
        <v>1488</v>
      </c>
      <c r="C183" s="3" t="s">
        <v>1404</v>
      </c>
      <c r="D183" s="3" t="s">
        <v>1405</v>
      </c>
      <c r="E183" s="3" t="s">
        <v>1474</v>
      </c>
      <c r="F183" s="3" t="s">
        <v>1489</v>
      </c>
      <c r="G183" s="3"/>
      <c r="H183" s="3" t="s">
        <v>1490</v>
      </c>
      <c r="I183" s="3"/>
      <c r="J183" s="3" t="s">
        <v>1491</v>
      </c>
      <c r="K183" s="3" t="s">
        <v>1492</v>
      </c>
      <c r="L183" s="3"/>
      <c r="M183" s="3" t="s">
        <v>1493</v>
      </c>
      <c r="N183" s="3" t="s">
        <v>1409</v>
      </c>
      <c r="O183" s="3" t="s">
        <v>43</v>
      </c>
      <c r="P183" s="3">
        <v>1</v>
      </c>
      <c r="Q183" s="3" t="s">
        <v>1494</v>
      </c>
      <c r="R183" s="3" t="s">
        <v>34</v>
      </c>
      <c r="S183" s="3" t="s">
        <v>34</v>
      </c>
      <c r="T183" s="3"/>
      <c r="U183" s="16"/>
      <c r="V183" s="16"/>
      <c r="W183" s="1"/>
    </row>
    <row r="184" spans="1:23" ht="28.15" customHeight="1">
      <c r="A184" s="3" t="s">
        <v>1495</v>
      </c>
      <c r="B184" s="3" t="s">
        <v>1496</v>
      </c>
      <c r="C184" s="3" t="s">
        <v>1404</v>
      </c>
      <c r="D184" s="3" t="s">
        <v>1405</v>
      </c>
      <c r="E184" s="3" t="s">
        <v>1474</v>
      </c>
      <c r="F184" s="3" t="s">
        <v>1497</v>
      </c>
      <c r="G184" s="3"/>
      <c r="H184" s="3" t="s">
        <v>464</v>
      </c>
      <c r="I184" s="3" t="s">
        <v>465</v>
      </c>
      <c r="J184" s="3" t="s">
        <v>466</v>
      </c>
      <c r="K184" s="3" t="s">
        <v>467</v>
      </c>
      <c r="L184" s="3"/>
      <c r="M184" s="3" t="s">
        <v>1498</v>
      </c>
      <c r="N184" s="3" t="s">
        <v>1409</v>
      </c>
      <c r="O184" s="3" t="s">
        <v>43</v>
      </c>
      <c r="P184" s="3">
        <v>1</v>
      </c>
      <c r="Q184" s="3" t="s">
        <v>1499</v>
      </c>
      <c r="R184" s="3" t="s">
        <v>34</v>
      </c>
      <c r="S184" s="3" t="s">
        <v>34</v>
      </c>
      <c r="T184" s="3"/>
      <c r="U184" s="17" t="s">
        <v>1500</v>
      </c>
      <c r="V184" s="17" t="s">
        <v>55</v>
      </c>
      <c r="W184" s="1"/>
    </row>
    <row r="185" spans="1:23" ht="28.15" customHeight="1">
      <c r="A185" s="3" t="s">
        <v>1501</v>
      </c>
      <c r="B185" s="3" t="s">
        <v>1502</v>
      </c>
      <c r="C185" s="3" t="s">
        <v>1404</v>
      </c>
      <c r="D185" s="3" t="s">
        <v>1405</v>
      </c>
      <c r="E185" s="3" t="s">
        <v>545</v>
      </c>
      <c r="F185" s="3" t="s">
        <v>1131</v>
      </c>
      <c r="G185" s="3"/>
      <c r="H185" s="3" t="s">
        <v>1503</v>
      </c>
      <c r="I185" s="3"/>
      <c r="J185" s="3" t="s">
        <v>1504</v>
      </c>
      <c r="K185" s="3" t="s">
        <v>281</v>
      </c>
      <c r="L185" s="3"/>
      <c r="M185" s="3" t="s">
        <v>1505</v>
      </c>
      <c r="N185" s="3" t="s">
        <v>1409</v>
      </c>
      <c r="O185" s="3" t="s">
        <v>43</v>
      </c>
      <c r="P185" s="3">
        <v>1</v>
      </c>
      <c r="Q185" s="3" t="s">
        <v>1506</v>
      </c>
      <c r="R185" s="3" t="s">
        <v>34</v>
      </c>
      <c r="S185" s="3" t="s">
        <v>34</v>
      </c>
      <c r="T185" s="3"/>
      <c r="U185" s="16"/>
      <c r="V185" s="16"/>
      <c r="W185" s="1"/>
    </row>
    <row r="186" spans="1:23" ht="28.15" customHeight="1">
      <c r="A186" s="3" t="s">
        <v>1507</v>
      </c>
      <c r="B186" s="3" t="s">
        <v>1508</v>
      </c>
      <c r="C186" s="3" t="s">
        <v>1404</v>
      </c>
      <c r="D186" s="3" t="s">
        <v>1405</v>
      </c>
      <c r="E186" s="3" t="s">
        <v>1509</v>
      </c>
      <c r="F186" s="3" t="s">
        <v>1510</v>
      </c>
      <c r="G186" s="3"/>
      <c r="H186" s="3" t="s">
        <v>1511</v>
      </c>
      <c r="I186" s="3"/>
      <c r="J186" s="3" t="s">
        <v>1512</v>
      </c>
      <c r="K186" s="3" t="s">
        <v>1513</v>
      </c>
      <c r="L186" s="3"/>
      <c r="M186" s="3" t="s">
        <v>1514</v>
      </c>
      <c r="N186" s="3" t="s">
        <v>1409</v>
      </c>
      <c r="O186" s="3" t="s">
        <v>43</v>
      </c>
      <c r="P186" s="3">
        <v>1</v>
      </c>
      <c r="Q186" s="3" t="s">
        <v>1515</v>
      </c>
      <c r="R186" s="3" t="s">
        <v>34</v>
      </c>
      <c r="S186" s="3" t="s">
        <v>34</v>
      </c>
      <c r="T186" s="3"/>
      <c r="U186" s="17"/>
      <c r="V186" s="17" t="s">
        <v>152</v>
      </c>
      <c r="W186" s="1"/>
    </row>
    <row r="187" spans="1:23" ht="28.15" customHeight="1">
      <c r="A187" s="3" t="s">
        <v>1516</v>
      </c>
      <c r="B187" s="3" t="s">
        <v>1517</v>
      </c>
      <c r="C187" s="3" t="s">
        <v>1404</v>
      </c>
      <c r="D187" s="3" t="s">
        <v>1405</v>
      </c>
      <c r="E187" s="3" t="s">
        <v>1509</v>
      </c>
      <c r="F187" s="3" t="s">
        <v>1518</v>
      </c>
      <c r="G187" s="3"/>
      <c r="H187" s="3" t="s">
        <v>1519</v>
      </c>
      <c r="I187" s="3"/>
      <c r="J187" s="3" t="s">
        <v>127</v>
      </c>
      <c r="K187" s="3" t="s">
        <v>1520</v>
      </c>
      <c r="L187" s="3"/>
      <c r="M187" s="3" t="s">
        <v>1521</v>
      </c>
      <c r="N187" s="3" t="s">
        <v>1409</v>
      </c>
      <c r="O187" s="3" t="s">
        <v>43</v>
      </c>
      <c r="P187" s="3">
        <v>1</v>
      </c>
      <c r="Q187" s="3" t="s">
        <v>1522</v>
      </c>
      <c r="R187" s="3" t="s">
        <v>34</v>
      </c>
      <c r="S187" s="3" t="s">
        <v>34</v>
      </c>
      <c r="T187" s="3"/>
      <c r="U187" s="16"/>
      <c r="V187" s="16"/>
      <c r="W187" s="1"/>
    </row>
    <row r="188" spans="1:23" ht="28.15" customHeight="1">
      <c r="A188" s="3" t="s">
        <v>1523</v>
      </c>
      <c r="B188" s="3" t="s">
        <v>1524</v>
      </c>
      <c r="C188" s="3" t="s">
        <v>1404</v>
      </c>
      <c r="D188" s="3" t="s">
        <v>1405</v>
      </c>
      <c r="E188" s="3" t="s">
        <v>1525</v>
      </c>
      <c r="F188" s="3" t="s">
        <v>1526</v>
      </c>
      <c r="G188" s="3"/>
      <c r="H188" s="3" t="s">
        <v>1527</v>
      </c>
      <c r="I188" s="3" t="s">
        <v>1528</v>
      </c>
      <c r="J188" s="3" t="s">
        <v>39</v>
      </c>
      <c r="K188" s="3" t="s">
        <v>1070</v>
      </c>
      <c r="L188" s="3"/>
      <c r="M188" s="3" t="s">
        <v>1529</v>
      </c>
      <c r="N188" s="3" t="s">
        <v>1409</v>
      </c>
      <c r="O188" s="3" t="s">
        <v>43</v>
      </c>
      <c r="P188" s="3">
        <v>1</v>
      </c>
      <c r="Q188" s="3" t="s">
        <v>1530</v>
      </c>
      <c r="R188" s="3" t="s">
        <v>34</v>
      </c>
      <c r="S188" s="3" t="s">
        <v>34</v>
      </c>
      <c r="T188" s="3"/>
      <c r="U188" s="17"/>
      <c r="V188" s="17" t="s">
        <v>152</v>
      </c>
      <c r="W188" s="1"/>
    </row>
    <row r="189" spans="1:23" ht="28.15" customHeight="1">
      <c r="A189" s="3" t="s">
        <v>1531</v>
      </c>
      <c r="B189" s="3" t="s">
        <v>1532</v>
      </c>
      <c r="C189" s="3" t="s">
        <v>1404</v>
      </c>
      <c r="D189" s="3" t="s">
        <v>1405</v>
      </c>
      <c r="E189" s="3" t="s">
        <v>1533</v>
      </c>
      <c r="F189" s="3" t="s">
        <v>1534</v>
      </c>
      <c r="G189" s="3"/>
      <c r="H189" s="3" t="s">
        <v>1535</v>
      </c>
      <c r="I189" s="3" t="s">
        <v>1083</v>
      </c>
      <c r="J189" s="3" t="s">
        <v>1084</v>
      </c>
      <c r="K189" s="3" t="s">
        <v>1085</v>
      </c>
      <c r="L189" s="3"/>
      <c r="M189" s="3" t="s">
        <v>1536</v>
      </c>
      <c r="N189" s="3" t="s">
        <v>1409</v>
      </c>
      <c r="O189" s="3" t="s">
        <v>43</v>
      </c>
      <c r="P189" s="3">
        <v>1</v>
      </c>
      <c r="Q189" s="3" t="s">
        <v>1537</v>
      </c>
      <c r="R189" s="3" t="s">
        <v>34</v>
      </c>
      <c r="S189" s="3" t="s">
        <v>34</v>
      </c>
      <c r="T189" s="3"/>
      <c r="U189" s="16"/>
      <c r="V189" s="16" t="s">
        <v>152</v>
      </c>
      <c r="W189" s="1"/>
    </row>
    <row r="190" spans="1:23" ht="28.15" customHeight="1">
      <c r="A190" s="3" t="s">
        <v>1538</v>
      </c>
      <c r="B190" s="3" t="s">
        <v>1539</v>
      </c>
      <c r="C190" s="3" t="s">
        <v>1404</v>
      </c>
      <c r="D190" s="3" t="s">
        <v>1405</v>
      </c>
      <c r="E190" s="3" t="s">
        <v>1540</v>
      </c>
      <c r="F190" s="3" t="s">
        <v>1541</v>
      </c>
      <c r="G190" s="3"/>
      <c r="H190" s="3" t="s">
        <v>1542</v>
      </c>
      <c r="I190" s="3"/>
      <c r="J190" s="3" t="s">
        <v>1543</v>
      </c>
      <c r="K190" s="3" t="s">
        <v>1544</v>
      </c>
      <c r="L190" s="3"/>
      <c r="M190" s="3" t="s">
        <v>1545</v>
      </c>
      <c r="N190" s="3" t="s">
        <v>1409</v>
      </c>
      <c r="O190" s="3" t="s">
        <v>43</v>
      </c>
      <c r="P190" s="3">
        <v>2</v>
      </c>
      <c r="Q190" s="3" t="s">
        <v>1546</v>
      </c>
      <c r="R190" s="3" t="s">
        <v>34</v>
      </c>
      <c r="S190" s="3" t="s">
        <v>34</v>
      </c>
      <c r="T190" s="3"/>
      <c r="U190" s="17"/>
      <c r="V190" s="17" t="s">
        <v>152</v>
      </c>
      <c r="W190" s="1"/>
    </row>
    <row r="191" spans="1:23" ht="28.15" customHeight="1">
      <c r="A191" s="3" t="s">
        <v>1547</v>
      </c>
      <c r="B191" s="3" t="s">
        <v>1548</v>
      </c>
      <c r="C191" s="3" t="s">
        <v>1404</v>
      </c>
      <c r="D191" s="3" t="s">
        <v>1405</v>
      </c>
      <c r="E191" s="3" t="s">
        <v>479</v>
      </c>
      <c r="F191" s="3" t="s">
        <v>1549</v>
      </c>
      <c r="G191" s="3"/>
      <c r="H191" s="3" t="s">
        <v>1550</v>
      </c>
      <c r="I191" s="3"/>
      <c r="J191" s="3" t="s">
        <v>422</v>
      </c>
      <c r="K191" s="3" t="s">
        <v>423</v>
      </c>
      <c r="L191" s="3"/>
      <c r="M191" s="3" t="s">
        <v>1551</v>
      </c>
      <c r="N191" s="3" t="s">
        <v>1409</v>
      </c>
      <c r="O191" s="3" t="s">
        <v>43</v>
      </c>
      <c r="P191" s="3">
        <v>1</v>
      </c>
      <c r="Q191" s="3" t="s">
        <v>1552</v>
      </c>
      <c r="R191" s="3" t="s">
        <v>34</v>
      </c>
      <c r="S191" s="3" t="s">
        <v>34</v>
      </c>
      <c r="T191" s="3"/>
      <c r="U191" s="16"/>
      <c r="V191" s="16" t="s">
        <v>152</v>
      </c>
      <c r="W191" s="1"/>
    </row>
    <row r="192" spans="1:23" ht="28.15" customHeight="1">
      <c r="A192" s="3" t="s">
        <v>1553</v>
      </c>
      <c r="B192" s="3" t="s">
        <v>1554</v>
      </c>
      <c r="C192" s="3" t="s">
        <v>1404</v>
      </c>
      <c r="D192" s="3" t="s">
        <v>1405</v>
      </c>
      <c r="E192" s="3" t="s">
        <v>723</v>
      </c>
      <c r="F192" s="3" t="s">
        <v>1555</v>
      </c>
      <c r="G192" s="3"/>
      <c r="H192" s="3" t="s">
        <v>1556</v>
      </c>
      <c r="I192" s="3"/>
      <c r="J192" s="3" t="s">
        <v>1543</v>
      </c>
      <c r="K192" s="3" t="s">
        <v>1557</v>
      </c>
      <c r="L192" s="3"/>
      <c r="M192" s="3" t="s">
        <v>1558</v>
      </c>
      <c r="N192" s="3" t="s">
        <v>1409</v>
      </c>
      <c r="O192" s="3" t="s">
        <v>43</v>
      </c>
      <c r="P192" s="3">
        <v>2</v>
      </c>
      <c r="Q192" s="3" t="s">
        <v>1559</v>
      </c>
      <c r="R192" s="3" t="s">
        <v>34</v>
      </c>
      <c r="S192" s="3" t="s">
        <v>34</v>
      </c>
      <c r="T192" s="3"/>
      <c r="U192" s="17"/>
      <c r="V192" s="17"/>
      <c r="W192" s="1"/>
    </row>
    <row r="193" spans="1:23" ht="28.15" customHeight="1">
      <c r="A193" s="3" t="s">
        <v>1560</v>
      </c>
      <c r="B193" s="3" t="s">
        <v>1561</v>
      </c>
      <c r="C193" s="3" t="s">
        <v>1404</v>
      </c>
      <c r="D193" s="3" t="s">
        <v>1405</v>
      </c>
      <c r="E193" s="3" t="s">
        <v>1562</v>
      </c>
      <c r="F193" s="3" t="s">
        <v>1563</v>
      </c>
      <c r="G193" s="3"/>
      <c r="H193" s="3" t="s">
        <v>1564</v>
      </c>
      <c r="I193" s="3"/>
      <c r="J193" s="3" t="s">
        <v>1565</v>
      </c>
      <c r="K193" s="3" t="s">
        <v>1566</v>
      </c>
      <c r="L193" s="3"/>
      <c r="M193" s="3" t="s">
        <v>1567</v>
      </c>
      <c r="N193" s="3" t="s">
        <v>1409</v>
      </c>
      <c r="O193" s="3" t="s">
        <v>43</v>
      </c>
      <c r="P193" s="3">
        <v>1</v>
      </c>
      <c r="Q193" s="3" t="s">
        <v>1568</v>
      </c>
      <c r="R193" s="3" t="s">
        <v>34</v>
      </c>
      <c r="S193" s="3" t="s">
        <v>34</v>
      </c>
      <c r="T193" s="3"/>
      <c r="U193" s="16"/>
      <c r="V193" s="16"/>
      <c r="W193" s="1"/>
    </row>
    <row r="194" spans="1:23" ht="28.15" customHeight="1">
      <c r="A194" s="3" t="s">
        <v>1569</v>
      </c>
      <c r="B194" s="3" t="s">
        <v>1570</v>
      </c>
      <c r="C194" s="3" t="s">
        <v>1404</v>
      </c>
      <c r="D194" s="3" t="s">
        <v>1405</v>
      </c>
      <c r="E194" s="3" t="s">
        <v>1571</v>
      </c>
      <c r="F194" s="3" t="s">
        <v>1572</v>
      </c>
      <c r="G194" s="3"/>
      <c r="H194" s="3" t="s">
        <v>1573</v>
      </c>
      <c r="I194" s="3"/>
      <c r="J194" s="3" t="s">
        <v>90</v>
      </c>
      <c r="K194" s="3" t="s">
        <v>1574</v>
      </c>
      <c r="L194" s="3"/>
      <c r="M194" s="3" t="s">
        <v>1575</v>
      </c>
      <c r="N194" s="3" t="s">
        <v>1409</v>
      </c>
      <c r="O194" s="3" t="s">
        <v>43</v>
      </c>
      <c r="P194" s="3">
        <v>1</v>
      </c>
      <c r="Q194" s="3" t="s">
        <v>1576</v>
      </c>
      <c r="R194" s="3" t="s">
        <v>34</v>
      </c>
      <c r="S194" s="3" t="s">
        <v>34</v>
      </c>
      <c r="T194" s="3"/>
      <c r="U194" s="17"/>
      <c r="V194" s="17"/>
      <c r="W194" s="1"/>
    </row>
    <row r="195" spans="1:23" ht="28.15" customHeight="1">
      <c r="A195" s="3" t="s">
        <v>1577</v>
      </c>
      <c r="B195" s="3" t="s">
        <v>1578</v>
      </c>
      <c r="C195" s="3" t="s">
        <v>1404</v>
      </c>
      <c r="D195" s="3" t="s">
        <v>1405</v>
      </c>
      <c r="E195" s="3" t="s">
        <v>1579</v>
      </c>
      <c r="F195" s="3" t="s">
        <v>1580</v>
      </c>
      <c r="G195" s="3"/>
      <c r="H195" s="3" t="s">
        <v>481</v>
      </c>
      <c r="I195" s="3"/>
      <c r="J195" s="3" t="s">
        <v>466</v>
      </c>
      <c r="K195" s="3" t="s">
        <v>467</v>
      </c>
      <c r="L195" s="3"/>
      <c r="M195" s="3" t="s">
        <v>1581</v>
      </c>
      <c r="N195" s="3" t="s">
        <v>1409</v>
      </c>
      <c r="O195" s="3" t="s">
        <v>43</v>
      </c>
      <c r="P195" s="3">
        <v>1</v>
      </c>
      <c r="Q195" s="3" t="s">
        <v>1582</v>
      </c>
      <c r="R195" s="3" t="s">
        <v>34</v>
      </c>
      <c r="S195" s="3" t="s">
        <v>34</v>
      </c>
      <c r="T195" s="3"/>
      <c r="U195" s="16"/>
      <c r="V195" s="16"/>
      <c r="W195" s="1"/>
    </row>
    <row r="196" spans="1:23" ht="28.15" customHeight="1">
      <c r="A196" s="3" t="s">
        <v>1583</v>
      </c>
      <c r="B196" s="3" t="s">
        <v>1584</v>
      </c>
      <c r="C196" s="3" t="s">
        <v>1404</v>
      </c>
      <c r="D196" s="3" t="s">
        <v>1405</v>
      </c>
      <c r="E196" s="3" t="s">
        <v>1585</v>
      </c>
      <c r="F196" s="3" t="s">
        <v>1586</v>
      </c>
      <c r="G196" s="3"/>
      <c r="H196" s="3" t="s">
        <v>1055</v>
      </c>
      <c r="I196" s="3"/>
      <c r="J196" s="3" t="s">
        <v>573</v>
      </c>
      <c r="K196" s="3" t="s">
        <v>574</v>
      </c>
      <c r="L196" s="3"/>
      <c r="M196" s="3" t="s">
        <v>1587</v>
      </c>
      <c r="N196" s="3" t="s">
        <v>838</v>
      </c>
      <c r="O196" s="3" t="s">
        <v>43</v>
      </c>
      <c r="P196" s="3">
        <v>1</v>
      </c>
      <c r="Q196" s="3" t="s">
        <v>1588</v>
      </c>
      <c r="R196" s="3" t="s">
        <v>34</v>
      </c>
      <c r="S196" s="3" t="s">
        <v>34</v>
      </c>
      <c r="T196" s="3"/>
      <c r="U196" s="17"/>
      <c r="V196" s="17"/>
      <c r="W196" s="1"/>
    </row>
    <row r="197" spans="1:23" ht="28.15" customHeight="1">
      <c r="A197" s="3" t="s">
        <v>1589</v>
      </c>
      <c r="B197" s="3" t="s">
        <v>1590</v>
      </c>
      <c r="C197" s="3" t="s">
        <v>1404</v>
      </c>
      <c r="D197" s="3" t="s">
        <v>1405</v>
      </c>
      <c r="E197" s="3" t="s">
        <v>1591</v>
      </c>
      <c r="F197" s="3" t="s">
        <v>295</v>
      </c>
      <c r="G197" s="3"/>
      <c r="H197" s="3" t="s">
        <v>296</v>
      </c>
      <c r="I197" s="3"/>
      <c r="J197" s="3" t="s">
        <v>174</v>
      </c>
      <c r="K197" s="3" t="s">
        <v>272</v>
      </c>
      <c r="L197" s="3"/>
      <c r="M197" s="3" t="s">
        <v>1592</v>
      </c>
      <c r="N197" s="3" t="s">
        <v>1409</v>
      </c>
      <c r="O197" s="3" t="s">
        <v>43</v>
      </c>
      <c r="P197" s="3">
        <v>1</v>
      </c>
      <c r="Q197" s="3" t="s">
        <v>1593</v>
      </c>
      <c r="R197" s="3" t="s">
        <v>34</v>
      </c>
      <c r="S197" s="3" t="s">
        <v>34</v>
      </c>
      <c r="T197" s="3"/>
      <c r="U197" s="16"/>
      <c r="V197" s="16"/>
      <c r="W197" s="1"/>
    </row>
    <row r="198" spans="1:23" ht="28.15" customHeight="1">
      <c r="A198" s="3" t="s">
        <v>1594</v>
      </c>
      <c r="B198" s="3" t="s">
        <v>1595</v>
      </c>
      <c r="C198" s="3" t="s">
        <v>1404</v>
      </c>
      <c r="D198" s="3" t="s">
        <v>1405</v>
      </c>
      <c r="E198" s="3" t="s">
        <v>963</v>
      </c>
      <c r="F198" s="3" t="s">
        <v>1596</v>
      </c>
      <c r="G198" s="3" t="s">
        <v>1597</v>
      </c>
      <c r="H198" s="3" t="s">
        <v>1598</v>
      </c>
      <c r="I198" s="3"/>
      <c r="J198" s="3">
        <v>95270</v>
      </c>
      <c r="K198" s="3" t="s">
        <v>557</v>
      </c>
      <c r="L198" s="3"/>
      <c r="M198" s="3" t="s">
        <v>1599</v>
      </c>
      <c r="N198" s="3" t="s">
        <v>1409</v>
      </c>
      <c r="O198" s="3" t="s">
        <v>43</v>
      </c>
      <c r="P198" s="3">
        <v>1</v>
      </c>
      <c r="Q198" s="3" t="s">
        <v>1600</v>
      </c>
      <c r="R198" s="3" t="s">
        <v>34</v>
      </c>
      <c r="S198" s="3" t="s">
        <v>34</v>
      </c>
      <c r="T198" s="3"/>
      <c r="U198" s="17" t="s">
        <v>1601</v>
      </c>
      <c r="V198" s="17" t="s">
        <v>55</v>
      </c>
      <c r="W198" s="1" t="s">
        <v>1958</v>
      </c>
    </row>
    <row r="199" spans="1:23" ht="28.15" customHeight="1">
      <c r="A199" s="3" t="s">
        <v>1602</v>
      </c>
      <c r="B199" s="3" t="s">
        <v>1603</v>
      </c>
      <c r="C199" s="3" t="s">
        <v>1404</v>
      </c>
      <c r="D199" s="3" t="s">
        <v>1405</v>
      </c>
      <c r="E199" s="3" t="s">
        <v>1604</v>
      </c>
      <c r="F199" s="3" t="s">
        <v>1605</v>
      </c>
      <c r="G199" s="3"/>
      <c r="H199" s="3" t="s">
        <v>1318</v>
      </c>
      <c r="I199" s="3"/>
      <c r="J199" s="3" t="s">
        <v>222</v>
      </c>
      <c r="K199" s="3" t="s">
        <v>223</v>
      </c>
      <c r="L199" s="3"/>
      <c r="M199" s="3" t="s">
        <v>1606</v>
      </c>
      <c r="N199" s="3" t="s">
        <v>1409</v>
      </c>
      <c r="O199" s="3" t="s">
        <v>43</v>
      </c>
      <c r="P199" s="3">
        <v>1</v>
      </c>
      <c r="Q199" s="3" t="s">
        <v>1607</v>
      </c>
      <c r="R199" s="3" t="s">
        <v>34</v>
      </c>
      <c r="S199" s="3" t="s">
        <v>34</v>
      </c>
      <c r="T199" s="3"/>
      <c r="U199" s="16"/>
      <c r="V199" s="16" t="s">
        <v>152</v>
      </c>
      <c r="W199" s="1"/>
    </row>
    <row r="200" spans="1:23" ht="28.15" customHeight="1">
      <c r="A200" s="3" t="s">
        <v>1608</v>
      </c>
      <c r="B200" s="3" t="s">
        <v>1609</v>
      </c>
      <c r="C200" s="3" t="s">
        <v>1404</v>
      </c>
      <c r="D200" s="3" t="s">
        <v>1405</v>
      </c>
      <c r="E200" s="3" t="s">
        <v>1610</v>
      </c>
      <c r="F200" s="3" t="s">
        <v>1611</v>
      </c>
      <c r="G200" s="3"/>
      <c r="H200" s="3" t="s">
        <v>1612</v>
      </c>
      <c r="I200" s="3"/>
      <c r="J200" s="3" t="s">
        <v>39</v>
      </c>
      <c r="K200" s="3" t="s">
        <v>1070</v>
      </c>
      <c r="L200" s="3"/>
      <c r="M200" s="3" t="s">
        <v>1613</v>
      </c>
      <c r="N200" s="3" t="s">
        <v>1409</v>
      </c>
      <c r="O200" s="3" t="s">
        <v>43</v>
      </c>
      <c r="P200" s="3">
        <v>1</v>
      </c>
      <c r="Q200" s="3" t="s">
        <v>1614</v>
      </c>
      <c r="R200" s="3" t="s">
        <v>34</v>
      </c>
      <c r="S200" s="3" t="s">
        <v>34</v>
      </c>
      <c r="T200" s="3"/>
      <c r="U200" s="17"/>
      <c r="V200" s="17"/>
      <c r="W200" s="1"/>
    </row>
    <row r="201" spans="1:23" ht="28.15" customHeight="1">
      <c r="A201" s="3" t="s">
        <v>1615</v>
      </c>
      <c r="B201" s="3" t="s">
        <v>1616</v>
      </c>
      <c r="C201" s="3" t="s">
        <v>1404</v>
      </c>
      <c r="D201" s="3" t="s">
        <v>1405</v>
      </c>
      <c r="E201" s="3" t="s">
        <v>866</v>
      </c>
      <c r="F201" s="3" t="s">
        <v>1617</v>
      </c>
      <c r="G201" s="3"/>
      <c r="H201" s="3" t="s">
        <v>1618</v>
      </c>
      <c r="I201" s="3"/>
      <c r="J201" s="3" t="s">
        <v>1565</v>
      </c>
      <c r="K201" s="3" t="s">
        <v>1619</v>
      </c>
      <c r="L201" s="3"/>
      <c r="M201" s="3" t="s">
        <v>1620</v>
      </c>
      <c r="N201" s="3" t="s">
        <v>1409</v>
      </c>
      <c r="O201" s="3" t="s">
        <v>43</v>
      </c>
      <c r="P201" s="3">
        <v>1</v>
      </c>
      <c r="Q201" s="3" t="s">
        <v>1621</v>
      </c>
      <c r="R201" s="3" t="s">
        <v>34</v>
      </c>
      <c r="S201" s="3" t="s">
        <v>34</v>
      </c>
      <c r="T201" s="3"/>
      <c r="U201" s="16"/>
      <c r="V201" s="16"/>
      <c r="W201" s="1"/>
    </row>
    <row r="202" spans="1:23" ht="28.15" customHeight="1">
      <c r="A202" s="3" t="s">
        <v>1622</v>
      </c>
      <c r="B202" s="3" t="s">
        <v>1623</v>
      </c>
      <c r="C202" s="3" t="s">
        <v>1404</v>
      </c>
      <c r="D202" s="3" t="s">
        <v>1405</v>
      </c>
      <c r="E202" s="3" t="s">
        <v>1624</v>
      </c>
      <c r="F202" s="3" t="s">
        <v>1625</v>
      </c>
      <c r="G202" s="3"/>
      <c r="H202" s="3" t="s">
        <v>1626</v>
      </c>
      <c r="I202" s="3"/>
      <c r="J202" s="3" t="s">
        <v>39</v>
      </c>
      <c r="K202" s="3" t="s">
        <v>40</v>
      </c>
      <c r="L202" s="3"/>
      <c r="M202" s="3" t="s">
        <v>1627</v>
      </c>
      <c r="N202" s="3" t="s">
        <v>1409</v>
      </c>
      <c r="O202" s="3" t="s">
        <v>43</v>
      </c>
      <c r="P202" s="3">
        <v>1</v>
      </c>
      <c r="Q202" s="3" t="s">
        <v>1628</v>
      </c>
      <c r="R202" s="3" t="s">
        <v>34</v>
      </c>
      <c r="S202" s="3" t="s">
        <v>34</v>
      </c>
      <c r="T202" s="3"/>
      <c r="U202" s="17"/>
      <c r="V202" s="17"/>
      <c r="W202" s="1"/>
    </row>
    <row r="203" spans="1:23" ht="28.15" customHeight="1">
      <c r="A203" s="3" t="s">
        <v>1629</v>
      </c>
      <c r="B203" s="3" t="s">
        <v>1630</v>
      </c>
      <c r="C203" s="3" t="s">
        <v>1404</v>
      </c>
      <c r="D203" s="3" t="s">
        <v>1405</v>
      </c>
      <c r="E203" s="3" t="s">
        <v>890</v>
      </c>
      <c r="F203" s="3" t="s">
        <v>1631</v>
      </c>
      <c r="G203" s="3"/>
      <c r="H203" s="3" t="s">
        <v>1632</v>
      </c>
      <c r="I203" s="3"/>
      <c r="J203" s="3" t="s">
        <v>39</v>
      </c>
      <c r="K203" s="3" t="s">
        <v>40</v>
      </c>
      <c r="L203" s="3"/>
      <c r="M203" s="3" t="s">
        <v>1633</v>
      </c>
      <c r="N203" s="3" t="s">
        <v>1409</v>
      </c>
      <c r="O203" s="3" t="s">
        <v>43</v>
      </c>
      <c r="P203" s="3">
        <v>1</v>
      </c>
      <c r="Q203" s="3" t="s">
        <v>1634</v>
      </c>
      <c r="R203" s="3" t="s">
        <v>34</v>
      </c>
      <c r="S203" s="3" t="s">
        <v>34</v>
      </c>
      <c r="T203" s="3"/>
      <c r="U203" s="16"/>
      <c r="V203" s="16"/>
      <c r="W203" s="1"/>
    </row>
    <row r="204" spans="1:23" ht="28.15" customHeight="1">
      <c r="A204" s="3" t="s">
        <v>1635</v>
      </c>
      <c r="B204" s="3" t="s">
        <v>1636</v>
      </c>
      <c r="C204" s="3" t="s">
        <v>1404</v>
      </c>
      <c r="D204" s="3" t="s">
        <v>1405</v>
      </c>
      <c r="E204" s="3" t="s">
        <v>898</v>
      </c>
      <c r="F204" s="3" t="s">
        <v>1637</v>
      </c>
      <c r="G204" s="3"/>
      <c r="H204" s="3" t="s">
        <v>1180</v>
      </c>
      <c r="I204" s="3"/>
      <c r="J204" s="3" t="s">
        <v>174</v>
      </c>
      <c r="K204" s="3" t="s">
        <v>175</v>
      </c>
      <c r="L204" s="3"/>
      <c r="M204" s="3" t="s">
        <v>1638</v>
      </c>
      <c r="N204" s="3" t="s">
        <v>1409</v>
      </c>
      <c r="O204" s="3" t="s">
        <v>43</v>
      </c>
      <c r="P204" s="3">
        <v>1</v>
      </c>
      <c r="Q204" s="3" t="s">
        <v>1639</v>
      </c>
      <c r="R204" s="3" t="s">
        <v>34</v>
      </c>
      <c r="S204" s="3" t="s">
        <v>34</v>
      </c>
      <c r="T204" s="3"/>
      <c r="U204" s="17"/>
      <c r="V204" s="17"/>
      <c r="W204" s="1"/>
    </row>
    <row r="205" spans="1:23" ht="28.15" customHeight="1">
      <c r="A205" s="3" t="s">
        <v>1640</v>
      </c>
      <c r="B205" s="3" t="s">
        <v>1641</v>
      </c>
      <c r="C205" s="3" t="s">
        <v>1404</v>
      </c>
      <c r="D205" s="3" t="s">
        <v>1405</v>
      </c>
      <c r="E205" s="3" t="s">
        <v>898</v>
      </c>
      <c r="F205" s="3" t="s">
        <v>1642</v>
      </c>
      <c r="G205" s="3"/>
      <c r="H205" s="3" t="s">
        <v>1643</v>
      </c>
      <c r="I205" s="3"/>
      <c r="J205" s="3" t="s">
        <v>174</v>
      </c>
      <c r="K205" s="3" t="s">
        <v>272</v>
      </c>
      <c r="L205" s="3"/>
      <c r="M205" s="3" t="s">
        <v>1644</v>
      </c>
      <c r="N205" s="3" t="s">
        <v>1409</v>
      </c>
      <c r="O205" s="3" t="s">
        <v>43</v>
      </c>
      <c r="P205" s="3">
        <v>1</v>
      </c>
      <c r="Q205" s="3" t="s">
        <v>1645</v>
      </c>
      <c r="R205" s="3" t="s">
        <v>34</v>
      </c>
      <c r="S205" s="3" t="s">
        <v>34</v>
      </c>
      <c r="T205" s="3"/>
      <c r="U205" s="16"/>
      <c r="V205" s="16"/>
      <c r="W205" s="1"/>
    </row>
    <row r="206" spans="1:23" ht="28.15" customHeight="1">
      <c r="A206" s="3" t="s">
        <v>1646</v>
      </c>
      <c r="B206" s="3" t="s">
        <v>1647</v>
      </c>
      <c r="C206" s="3" t="s">
        <v>1404</v>
      </c>
      <c r="D206" s="3" t="s">
        <v>1405</v>
      </c>
      <c r="E206" s="3" t="s">
        <v>898</v>
      </c>
      <c r="F206" s="3" t="s">
        <v>1648</v>
      </c>
      <c r="G206" s="3"/>
      <c r="H206" s="3" t="s">
        <v>1649</v>
      </c>
      <c r="I206" s="3"/>
      <c r="J206" s="3" t="s">
        <v>174</v>
      </c>
      <c r="K206" s="3" t="s">
        <v>175</v>
      </c>
      <c r="L206" s="3"/>
      <c r="M206" s="3" t="s">
        <v>1650</v>
      </c>
      <c r="N206" s="3" t="s">
        <v>1409</v>
      </c>
      <c r="O206" s="3" t="s">
        <v>43</v>
      </c>
      <c r="P206" s="3">
        <v>1</v>
      </c>
      <c r="Q206" s="3" t="s">
        <v>1651</v>
      </c>
      <c r="R206" s="3" t="s">
        <v>34</v>
      </c>
      <c r="S206" s="3" t="s">
        <v>34</v>
      </c>
      <c r="T206" s="3"/>
      <c r="U206" s="17"/>
      <c r="V206" s="17"/>
      <c r="W206" s="1"/>
    </row>
    <row r="207" spans="1:23" ht="28.15" customHeight="1">
      <c r="A207" s="3" t="s">
        <v>1652</v>
      </c>
      <c r="B207" s="3" t="s">
        <v>1653</v>
      </c>
      <c r="C207" s="3" t="s">
        <v>1404</v>
      </c>
      <c r="D207" s="3" t="s">
        <v>1405</v>
      </c>
      <c r="E207" s="3" t="s">
        <v>898</v>
      </c>
      <c r="F207" s="3" t="s">
        <v>1654</v>
      </c>
      <c r="G207" s="3"/>
      <c r="H207" s="3" t="s">
        <v>1655</v>
      </c>
      <c r="I207" s="3"/>
      <c r="J207" s="3" t="s">
        <v>39</v>
      </c>
      <c r="K207" s="3" t="s">
        <v>40</v>
      </c>
      <c r="L207" s="3"/>
      <c r="M207" s="3" t="s">
        <v>1656</v>
      </c>
      <c r="N207" s="3" t="s">
        <v>1409</v>
      </c>
      <c r="O207" s="3" t="s">
        <v>43</v>
      </c>
      <c r="P207" s="3">
        <v>1</v>
      </c>
      <c r="Q207" s="3" t="s">
        <v>1657</v>
      </c>
      <c r="R207" s="3" t="s">
        <v>34</v>
      </c>
      <c r="S207" s="3" t="s">
        <v>34</v>
      </c>
      <c r="T207" s="3"/>
      <c r="U207" s="16"/>
      <c r="V207" s="16"/>
      <c r="W207" s="1"/>
    </row>
    <row r="208" spans="1:23" ht="28.15" customHeight="1">
      <c r="A208" s="3" t="s">
        <v>1658</v>
      </c>
      <c r="B208" s="3" t="s">
        <v>1659</v>
      </c>
      <c r="C208" s="3" t="s">
        <v>1404</v>
      </c>
      <c r="D208" s="3" t="s">
        <v>1405</v>
      </c>
      <c r="E208" s="3" t="s">
        <v>898</v>
      </c>
      <c r="F208" s="3" t="s">
        <v>1660</v>
      </c>
      <c r="G208" s="3"/>
      <c r="H208" s="3" t="s">
        <v>1661</v>
      </c>
      <c r="I208" s="3"/>
      <c r="J208" s="3" t="s">
        <v>127</v>
      </c>
      <c r="K208" s="3" t="s">
        <v>1520</v>
      </c>
      <c r="L208" s="3"/>
      <c r="M208" s="3" t="s">
        <v>1662</v>
      </c>
      <c r="N208" s="3" t="s">
        <v>1409</v>
      </c>
      <c r="O208" s="3" t="s">
        <v>43</v>
      </c>
      <c r="P208" s="3">
        <v>1</v>
      </c>
      <c r="Q208" s="3" t="s">
        <v>1663</v>
      </c>
      <c r="R208" s="3" t="s">
        <v>34</v>
      </c>
      <c r="S208" s="3" t="s">
        <v>34</v>
      </c>
      <c r="T208" s="3"/>
      <c r="U208" s="17"/>
      <c r="V208" s="17"/>
      <c r="W208" s="1"/>
    </row>
    <row r="209" spans="1:23" ht="28.15" customHeight="1">
      <c r="A209" s="3" t="s">
        <v>1664</v>
      </c>
      <c r="B209" s="3" t="s">
        <v>1665</v>
      </c>
      <c r="C209" s="3" t="s">
        <v>1404</v>
      </c>
      <c r="D209" s="3" t="s">
        <v>1405</v>
      </c>
      <c r="E209" s="3" t="s">
        <v>924</v>
      </c>
      <c r="F209" s="3" t="s">
        <v>1666</v>
      </c>
      <c r="G209" s="3"/>
      <c r="H209" s="3" t="s">
        <v>1667</v>
      </c>
      <c r="I209" s="3"/>
      <c r="J209" s="3" t="s">
        <v>174</v>
      </c>
      <c r="K209" s="3" t="s">
        <v>1668</v>
      </c>
      <c r="L209" s="3"/>
      <c r="M209" s="3" t="s">
        <v>1669</v>
      </c>
      <c r="N209" s="3" t="s">
        <v>1409</v>
      </c>
      <c r="O209" s="3" t="s">
        <v>43</v>
      </c>
      <c r="P209" s="3">
        <v>2</v>
      </c>
      <c r="Q209" s="3" t="s">
        <v>1670</v>
      </c>
      <c r="R209" s="3" t="s">
        <v>34</v>
      </c>
      <c r="S209" s="3" t="s">
        <v>34</v>
      </c>
      <c r="T209" s="3"/>
      <c r="U209" s="16"/>
      <c r="V209" s="16"/>
      <c r="W209" s="1"/>
    </row>
    <row r="210" spans="1:23" ht="28.15" customHeight="1">
      <c r="A210" s="3" t="s">
        <v>1671</v>
      </c>
      <c r="B210" s="3" t="s">
        <v>1672</v>
      </c>
      <c r="C210" s="3" t="s">
        <v>1404</v>
      </c>
      <c r="D210" s="3" t="s">
        <v>1405</v>
      </c>
      <c r="E210" s="3" t="s">
        <v>1673</v>
      </c>
      <c r="F210" s="3" t="s">
        <v>1674</v>
      </c>
      <c r="G210" s="3"/>
      <c r="H210" s="3" t="s">
        <v>1675</v>
      </c>
      <c r="I210" s="3"/>
      <c r="J210" s="3" t="s">
        <v>466</v>
      </c>
      <c r="K210" s="3" t="s">
        <v>467</v>
      </c>
      <c r="L210" s="3"/>
      <c r="M210" s="3" t="s">
        <v>1676</v>
      </c>
      <c r="N210" s="3" t="s">
        <v>1409</v>
      </c>
      <c r="O210" s="3" t="s">
        <v>43</v>
      </c>
      <c r="P210" s="3">
        <v>1</v>
      </c>
      <c r="Q210" s="3" t="s">
        <v>1677</v>
      </c>
      <c r="R210" s="3" t="s">
        <v>34</v>
      </c>
      <c r="S210" s="3" t="s">
        <v>34</v>
      </c>
      <c r="T210" s="3"/>
      <c r="U210" s="17"/>
      <c r="V210" s="17"/>
      <c r="W210" s="1"/>
    </row>
    <row r="211" spans="1:23" ht="28.15" customHeight="1">
      <c r="A211" s="3" t="s">
        <v>1678</v>
      </c>
      <c r="B211" s="3" t="s">
        <v>1679</v>
      </c>
      <c r="C211" s="3" t="s">
        <v>1404</v>
      </c>
      <c r="D211" s="3" t="s">
        <v>1405</v>
      </c>
      <c r="E211" s="3" t="s">
        <v>915</v>
      </c>
      <c r="F211" s="3" t="s">
        <v>1680</v>
      </c>
      <c r="G211" s="3"/>
      <c r="H211" s="3" t="s">
        <v>1681</v>
      </c>
      <c r="I211" s="3"/>
      <c r="J211" s="3" t="s">
        <v>513</v>
      </c>
      <c r="K211" s="3" t="s">
        <v>829</v>
      </c>
      <c r="L211" s="3"/>
      <c r="M211" s="3" t="s">
        <v>1682</v>
      </c>
      <c r="N211" s="3" t="s">
        <v>1409</v>
      </c>
      <c r="O211" s="3" t="s">
        <v>43</v>
      </c>
      <c r="P211" s="3">
        <v>1</v>
      </c>
      <c r="Q211" s="3" t="s">
        <v>1683</v>
      </c>
      <c r="R211" s="3" t="s">
        <v>34</v>
      </c>
      <c r="S211" s="3" t="s">
        <v>34</v>
      </c>
      <c r="T211" s="3"/>
      <c r="U211" s="16"/>
      <c r="V211" s="16"/>
      <c r="W211" s="1"/>
    </row>
    <row r="212" spans="1:23" ht="28.15" customHeight="1">
      <c r="A212" s="3" t="s">
        <v>1684</v>
      </c>
      <c r="B212" s="3" t="s">
        <v>1685</v>
      </c>
      <c r="C212" s="3" t="s">
        <v>1404</v>
      </c>
      <c r="D212" s="3" t="s">
        <v>1405</v>
      </c>
      <c r="E212" s="3" t="s">
        <v>1686</v>
      </c>
      <c r="F212" s="3" t="s">
        <v>1687</v>
      </c>
      <c r="G212" s="3"/>
      <c r="H212" s="3" t="s">
        <v>1688</v>
      </c>
      <c r="I212" s="3"/>
      <c r="J212" s="3" t="s">
        <v>1689</v>
      </c>
      <c r="K212" s="3" t="s">
        <v>1690</v>
      </c>
      <c r="L212" s="3"/>
      <c r="M212" s="3" t="s">
        <v>1691</v>
      </c>
      <c r="N212" s="3" t="s">
        <v>1409</v>
      </c>
      <c r="O212" s="3" t="s">
        <v>43</v>
      </c>
      <c r="P212" s="3">
        <v>1</v>
      </c>
      <c r="Q212" s="3" t="s">
        <v>1692</v>
      </c>
      <c r="R212" s="3" t="s">
        <v>34</v>
      </c>
      <c r="S212" s="3" t="s">
        <v>34</v>
      </c>
      <c r="T212" s="3"/>
      <c r="U212" s="17"/>
      <c r="V212" s="17"/>
      <c r="W212" s="1"/>
    </row>
    <row r="213" spans="1:23" ht="28.15" customHeight="1">
      <c r="A213" s="3" t="s">
        <v>1693</v>
      </c>
      <c r="B213" s="3" t="s">
        <v>1694</v>
      </c>
      <c r="C213" s="3" t="s">
        <v>1404</v>
      </c>
      <c r="D213" s="3" t="s">
        <v>1405</v>
      </c>
      <c r="E213" s="3" t="s">
        <v>1075</v>
      </c>
      <c r="F213" s="3" t="s">
        <v>1695</v>
      </c>
      <c r="G213" s="3"/>
      <c r="H213" s="3" t="s">
        <v>1696</v>
      </c>
      <c r="I213" s="3"/>
      <c r="J213" s="3" t="s">
        <v>1697</v>
      </c>
      <c r="K213" s="3" t="s">
        <v>1698</v>
      </c>
      <c r="L213" s="3"/>
      <c r="M213" s="3" t="s">
        <v>1699</v>
      </c>
      <c r="N213" s="3" t="s">
        <v>1409</v>
      </c>
      <c r="O213" s="3" t="s">
        <v>43</v>
      </c>
      <c r="P213" s="3">
        <v>1</v>
      </c>
      <c r="Q213" s="3" t="s">
        <v>1700</v>
      </c>
      <c r="R213" s="3" t="s">
        <v>34</v>
      </c>
      <c r="S213" s="3" t="s">
        <v>34</v>
      </c>
      <c r="T213" s="3"/>
      <c r="U213" s="16"/>
      <c r="V213" s="16"/>
      <c r="W213" s="1"/>
    </row>
    <row r="214" spans="1:23" ht="28.15" customHeight="1">
      <c r="A214" s="3" t="s">
        <v>1701</v>
      </c>
      <c r="B214" s="3" t="s">
        <v>1702</v>
      </c>
      <c r="C214" s="3" t="s">
        <v>1404</v>
      </c>
      <c r="D214" s="3" t="s">
        <v>1405</v>
      </c>
      <c r="E214" s="3" t="s">
        <v>1703</v>
      </c>
      <c r="F214" s="3" t="s">
        <v>1704</v>
      </c>
      <c r="G214" s="3"/>
      <c r="H214" s="3" t="s">
        <v>1705</v>
      </c>
      <c r="I214" s="3"/>
      <c r="J214" s="3" t="s">
        <v>174</v>
      </c>
      <c r="K214" s="3" t="s">
        <v>557</v>
      </c>
      <c r="L214" s="3"/>
      <c r="M214" s="3" t="s">
        <v>1706</v>
      </c>
      <c r="N214" s="3" t="s">
        <v>1409</v>
      </c>
      <c r="O214" s="3" t="s">
        <v>43</v>
      </c>
      <c r="P214" s="3">
        <v>1</v>
      </c>
      <c r="Q214" s="3" t="s">
        <v>1707</v>
      </c>
      <c r="R214" s="3" t="s">
        <v>34</v>
      </c>
      <c r="S214" s="3" t="s">
        <v>34</v>
      </c>
      <c r="T214" s="3"/>
      <c r="U214" s="17"/>
      <c r="V214" s="17"/>
      <c r="W214" s="1"/>
    </row>
    <row r="215" spans="1:23" ht="28.15" customHeight="1">
      <c r="A215" s="3" t="s">
        <v>1708</v>
      </c>
      <c r="B215" s="3" t="s">
        <v>1709</v>
      </c>
      <c r="C215" s="3" t="s">
        <v>1710</v>
      </c>
      <c r="D215" s="3" t="s">
        <v>1405</v>
      </c>
      <c r="E215" s="3" t="s">
        <v>1509</v>
      </c>
      <c r="F215" s="3" t="s">
        <v>1711</v>
      </c>
      <c r="G215" s="3"/>
      <c r="H215" s="3" t="s">
        <v>1712</v>
      </c>
      <c r="I215" s="3"/>
      <c r="J215" s="3" t="s">
        <v>127</v>
      </c>
      <c r="K215" s="3" t="s">
        <v>128</v>
      </c>
      <c r="L215" s="3"/>
      <c r="M215" s="3" t="s">
        <v>1713</v>
      </c>
      <c r="N215" s="3" t="s">
        <v>1714</v>
      </c>
      <c r="O215" s="3" t="s">
        <v>43</v>
      </c>
      <c r="P215" s="3">
        <v>1</v>
      </c>
      <c r="Q215" s="3" t="s">
        <v>1715</v>
      </c>
      <c r="R215" s="3" t="s">
        <v>34</v>
      </c>
      <c r="S215" s="3" t="s">
        <v>34</v>
      </c>
      <c r="T215" s="3"/>
      <c r="U215" s="16"/>
      <c r="V215" s="16" t="s">
        <v>152</v>
      </c>
      <c r="W215" s="1"/>
    </row>
  </sheetData>
  <dataValidations count="2">
    <dataValidation type="list" sqref="O2:O215">
      <formula1>"tu,vous"</formula1>
    </dataValidation>
    <dataValidation type="list" sqref="R2:S215">
      <formula1>"Oui,Non"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29"/>
  <sheetViews>
    <sheetView topLeftCell="A15" workbookViewId="0">
      <selection activeCell="A28" sqref="A28"/>
    </sheetView>
  </sheetViews>
  <sheetFormatPr baseColWidth="10" defaultColWidth="8.75" defaultRowHeight="14.25"/>
  <cols>
    <col min="1" max="1" width="12" customWidth="1"/>
    <col min="2" max="2" width="24" customWidth="1"/>
    <col min="3" max="3" width="42" customWidth="1"/>
    <col min="4" max="4" width="30" customWidth="1"/>
    <col min="5" max="5" width="18" customWidth="1"/>
    <col min="6" max="6" width="12" customWidth="1"/>
    <col min="7" max="7" width="16" customWidth="1"/>
    <col min="8" max="8" width="22" customWidth="1"/>
    <col min="9" max="9" width="28" customWidth="1"/>
    <col min="10" max="10" width="30" customWidth="1"/>
    <col min="11" max="11" width="25" customWidth="1"/>
    <col min="12" max="12" width="12" customWidth="1"/>
    <col min="13" max="13" width="22" customWidth="1"/>
    <col min="14" max="14" width="18" customWidth="1"/>
    <col min="15" max="15" width="40" customWidth="1"/>
    <col min="16" max="16" width="22" customWidth="1"/>
    <col min="17" max="17" width="14" customWidth="1"/>
    <col min="18" max="20" width="10" customWidth="1"/>
    <col min="21" max="21" width="28" customWidth="1"/>
    <col min="22" max="22" width="15" customWidth="1"/>
  </cols>
  <sheetData>
    <row r="1" spans="1:22" ht="14.25" customHeight="1">
      <c r="A1" s="2" t="s">
        <v>0</v>
      </c>
      <c r="B1" s="2" t="s">
        <v>1716</v>
      </c>
      <c r="C1" s="2" t="s">
        <v>1717</v>
      </c>
      <c r="D1" s="2" t="s">
        <v>1718</v>
      </c>
      <c r="E1" s="2" t="s">
        <v>2</v>
      </c>
      <c r="F1" s="2" t="s">
        <v>3</v>
      </c>
      <c r="G1" s="2" t="s">
        <v>4</v>
      </c>
      <c r="H1" s="2" t="s">
        <v>5</v>
      </c>
      <c r="I1" s="2" t="s">
        <v>6</v>
      </c>
      <c r="J1" s="2" t="s">
        <v>7</v>
      </c>
      <c r="K1" s="2" t="s">
        <v>8</v>
      </c>
      <c r="L1" s="2" t="s">
        <v>9</v>
      </c>
      <c r="M1" s="2" t="s">
        <v>10</v>
      </c>
      <c r="N1" s="2" t="s">
        <v>11</v>
      </c>
      <c r="O1" s="2" t="s">
        <v>12</v>
      </c>
      <c r="P1" s="2" t="s">
        <v>13</v>
      </c>
      <c r="Q1" s="2" t="s">
        <v>14</v>
      </c>
      <c r="R1" s="2" t="s">
        <v>1719</v>
      </c>
      <c r="S1" s="2" t="s">
        <v>17</v>
      </c>
      <c r="T1" s="2" t="s">
        <v>18</v>
      </c>
      <c r="U1" s="2" t="s">
        <v>19</v>
      </c>
      <c r="V1" s="1" t="s">
        <v>1947</v>
      </c>
    </row>
    <row r="2" spans="1:22" ht="28.15" customHeight="1">
      <c r="A2" s="3" t="s">
        <v>1720</v>
      </c>
      <c r="B2" s="3" t="s">
        <v>1721</v>
      </c>
      <c r="C2" s="3" t="s">
        <v>1722</v>
      </c>
      <c r="D2" s="3" t="s">
        <v>1723</v>
      </c>
      <c r="E2" s="3"/>
      <c r="F2" s="3"/>
      <c r="G2" s="3"/>
      <c r="H2" s="3"/>
      <c r="I2" s="3" t="s">
        <v>1723</v>
      </c>
      <c r="J2" s="3" t="s">
        <v>1724</v>
      </c>
      <c r="K2" s="3" t="s">
        <v>1725</v>
      </c>
      <c r="L2" s="3" t="s">
        <v>109</v>
      </c>
      <c r="M2" s="3" t="s">
        <v>110</v>
      </c>
      <c r="N2" s="3" t="s">
        <v>1726</v>
      </c>
      <c r="O2" s="3" t="s">
        <v>1727</v>
      </c>
      <c r="P2" s="3" t="s">
        <v>838</v>
      </c>
      <c r="Q2" s="3" t="s">
        <v>43</v>
      </c>
      <c r="R2" s="3">
        <v>1</v>
      </c>
      <c r="S2" s="3" t="s">
        <v>34</v>
      </c>
      <c r="T2" s="3" t="s">
        <v>34</v>
      </c>
      <c r="U2" s="3"/>
      <c r="V2" s="1" t="s">
        <v>1959</v>
      </c>
    </row>
    <row r="3" spans="1:22" ht="28.15" customHeight="1">
      <c r="A3" s="3" t="s">
        <v>1728</v>
      </c>
      <c r="B3" s="3" t="s">
        <v>1729</v>
      </c>
      <c r="C3" s="3" t="s">
        <v>1730</v>
      </c>
      <c r="D3" s="3" t="s">
        <v>1731</v>
      </c>
      <c r="E3" s="3" t="s">
        <v>24</v>
      </c>
      <c r="F3" s="3"/>
      <c r="G3" s="3" t="s">
        <v>1732</v>
      </c>
      <c r="H3" s="3" t="s">
        <v>1733</v>
      </c>
      <c r="I3" s="3" t="s">
        <v>488</v>
      </c>
      <c r="J3" s="3" t="s">
        <v>701</v>
      </c>
      <c r="K3" s="3"/>
      <c r="L3" s="3" t="s">
        <v>355</v>
      </c>
      <c r="M3" s="3" t="s">
        <v>356</v>
      </c>
      <c r="N3" s="3"/>
      <c r="O3" s="3" t="s">
        <v>1734</v>
      </c>
      <c r="P3" s="3" t="s">
        <v>1735</v>
      </c>
      <c r="Q3" s="3" t="s">
        <v>32</v>
      </c>
      <c r="R3" s="3">
        <v>1</v>
      </c>
      <c r="S3" s="3" t="s">
        <v>34</v>
      </c>
      <c r="T3" s="3" t="s">
        <v>1736</v>
      </c>
      <c r="U3" s="3" t="s">
        <v>1737</v>
      </c>
      <c r="V3" s="1" t="s">
        <v>1950</v>
      </c>
    </row>
    <row r="4" spans="1:22" ht="28.15" customHeight="1">
      <c r="A4" s="3" t="s">
        <v>1738</v>
      </c>
      <c r="B4" s="3" t="s">
        <v>1739</v>
      </c>
      <c r="C4" s="3" t="s">
        <v>1740</v>
      </c>
      <c r="D4" s="3" t="s">
        <v>1741</v>
      </c>
      <c r="E4" s="3"/>
      <c r="F4" s="3"/>
      <c r="G4" s="3"/>
      <c r="H4" s="3"/>
      <c r="I4" s="3" t="s">
        <v>1741</v>
      </c>
      <c r="J4" s="3" t="s">
        <v>1742</v>
      </c>
      <c r="K4" s="3" t="s">
        <v>1743</v>
      </c>
      <c r="L4" s="3" t="s">
        <v>1744</v>
      </c>
      <c r="M4" s="3" t="s">
        <v>1745</v>
      </c>
      <c r="N4" s="3" t="s">
        <v>1746</v>
      </c>
      <c r="O4" s="3" t="s">
        <v>1747</v>
      </c>
      <c r="P4" s="3" t="s">
        <v>838</v>
      </c>
      <c r="Q4" s="3" t="s">
        <v>43</v>
      </c>
      <c r="R4" s="3">
        <v>1</v>
      </c>
      <c r="S4" s="3" t="s">
        <v>34</v>
      </c>
      <c r="T4" s="3" t="s">
        <v>34</v>
      </c>
      <c r="U4" s="3"/>
      <c r="V4" s="1" t="s">
        <v>1960</v>
      </c>
    </row>
    <row r="5" spans="1:22" ht="28.15" customHeight="1">
      <c r="A5" s="3" t="s">
        <v>1748</v>
      </c>
      <c r="B5" s="3" t="s">
        <v>1729</v>
      </c>
      <c r="C5" s="3" t="s">
        <v>1729</v>
      </c>
      <c r="D5" s="3" t="s">
        <v>488</v>
      </c>
      <c r="E5" s="3"/>
      <c r="F5" s="3"/>
      <c r="G5" s="3"/>
      <c r="H5" s="3"/>
      <c r="I5" s="3" t="s">
        <v>488</v>
      </c>
      <c r="J5" s="3" t="s">
        <v>354</v>
      </c>
      <c r="K5" s="3"/>
      <c r="L5" s="3" t="s">
        <v>355</v>
      </c>
      <c r="M5" s="3" t="s">
        <v>356</v>
      </c>
      <c r="N5" s="3"/>
      <c r="O5" s="3" t="s">
        <v>1749</v>
      </c>
      <c r="P5" s="3" t="s">
        <v>838</v>
      </c>
      <c r="Q5" s="3" t="s">
        <v>43</v>
      </c>
      <c r="R5" s="3">
        <v>1</v>
      </c>
      <c r="S5" s="3" t="s">
        <v>34</v>
      </c>
      <c r="T5" s="3" t="s">
        <v>34</v>
      </c>
      <c r="U5" s="3"/>
      <c r="V5" s="1" t="s">
        <v>1950</v>
      </c>
    </row>
    <row r="6" spans="1:22" ht="28.15" customHeight="1">
      <c r="A6" s="3" t="s">
        <v>1750</v>
      </c>
      <c r="B6" s="3" t="s">
        <v>1739</v>
      </c>
      <c r="C6" s="3" t="s">
        <v>1740</v>
      </c>
      <c r="D6" s="3" t="s">
        <v>1751</v>
      </c>
      <c r="E6" s="3"/>
      <c r="F6" s="3"/>
      <c r="G6" s="3"/>
      <c r="H6" s="3"/>
      <c r="I6" s="3" t="s">
        <v>1751</v>
      </c>
      <c r="J6" s="3" t="s">
        <v>1752</v>
      </c>
      <c r="K6" s="3" t="s">
        <v>1753</v>
      </c>
      <c r="L6" s="3" t="s">
        <v>1744</v>
      </c>
      <c r="M6" s="3" t="s">
        <v>1745</v>
      </c>
      <c r="N6" s="3" t="s">
        <v>1754</v>
      </c>
      <c r="O6" s="3" t="s">
        <v>1755</v>
      </c>
      <c r="P6" s="3" t="s">
        <v>838</v>
      </c>
      <c r="Q6" s="3" t="s">
        <v>43</v>
      </c>
      <c r="R6" s="3">
        <v>1</v>
      </c>
      <c r="S6" s="3" t="s">
        <v>34</v>
      </c>
      <c r="T6" s="3" t="s">
        <v>34</v>
      </c>
      <c r="U6" s="3"/>
      <c r="V6" s="1" t="s">
        <v>1961</v>
      </c>
    </row>
    <row r="7" spans="1:22" ht="28.15" customHeight="1">
      <c r="A7" s="3" t="s">
        <v>1756</v>
      </c>
      <c r="B7" s="3" t="s">
        <v>1757</v>
      </c>
      <c r="C7" s="3" t="s">
        <v>1757</v>
      </c>
      <c r="D7" s="3" t="s">
        <v>1758</v>
      </c>
      <c r="E7" s="3" t="s">
        <v>24</v>
      </c>
      <c r="F7" s="3"/>
      <c r="G7" s="3" t="s">
        <v>1759</v>
      </c>
      <c r="H7" s="3" t="s">
        <v>1760</v>
      </c>
      <c r="I7" s="3" t="s">
        <v>683</v>
      </c>
      <c r="J7" s="3" t="s">
        <v>684</v>
      </c>
      <c r="K7" s="3"/>
      <c r="L7" s="3" t="s">
        <v>1761</v>
      </c>
      <c r="M7" s="3" t="s">
        <v>685</v>
      </c>
      <c r="N7" s="3"/>
      <c r="O7" s="3" t="s">
        <v>1762</v>
      </c>
      <c r="P7" s="3" t="s">
        <v>687</v>
      </c>
      <c r="Q7" s="3" t="s">
        <v>32</v>
      </c>
      <c r="R7" s="3">
        <v>1</v>
      </c>
      <c r="S7" s="3" t="s">
        <v>34</v>
      </c>
      <c r="T7" s="3" t="s">
        <v>1736</v>
      </c>
      <c r="U7" s="3" t="s">
        <v>1763</v>
      </c>
      <c r="V7" s="1" t="s">
        <v>1953</v>
      </c>
    </row>
    <row r="8" spans="1:22" ht="28.15" customHeight="1">
      <c r="A8" s="3" t="s">
        <v>1764</v>
      </c>
      <c r="B8" s="3" t="s">
        <v>1765</v>
      </c>
      <c r="C8" s="3" t="s">
        <v>1765</v>
      </c>
      <c r="D8" s="3" t="s">
        <v>1766</v>
      </c>
      <c r="E8" s="3" t="s">
        <v>24</v>
      </c>
      <c r="F8" s="3"/>
      <c r="G8" s="3" t="s">
        <v>1767</v>
      </c>
      <c r="H8" s="3" t="s">
        <v>1768</v>
      </c>
      <c r="I8" s="3" t="s">
        <v>488</v>
      </c>
      <c r="J8" s="3" t="s">
        <v>701</v>
      </c>
      <c r="K8" s="3"/>
      <c r="L8" s="3" t="s">
        <v>355</v>
      </c>
      <c r="M8" s="3" t="s">
        <v>356</v>
      </c>
      <c r="N8" s="3"/>
      <c r="O8" s="3" t="s">
        <v>1769</v>
      </c>
      <c r="P8" s="3" t="s">
        <v>1770</v>
      </c>
      <c r="Q8" s="3" t="s">
        <v>32</v>
      </c>
      <c r="R8" s="3">
        <v>1</v>
      </c>
      <c r="S8" s="3" t="s">
        <v>34</v>
      </c>
      <c r="T8" s="3" t="s">
        <v>1736</v>
      </c>
      <c r="U8" s="3" t="s">
        <v>1771</v>
      </c>
      <c r="V8" s="1" t="s">
        <v>1950</v>
      </c>
    </row>
    <row r="9" spans="1:22" ht="28.15" customHeight="1">
      <c r="A9" s="3" t="s">
        <v>1772</v>
      </c>
      <c r="B9" s="3" t="s">
        <v>1773</v>
      </c>
      <c r="C9" s="3" t="s">
        <v>1773</v>
      </c>
      <c r="D9" s="3" t="s">
        <v>1774</v>
      </c>
      <c r="E9" s="3" t="s">
        <v>24</v>
      </c>
      <c r="F9" s="3"/>
      <c r="G9" s="3" t="s">
        <v>1775</v>
      </c>
      <c r="H9" s="3" t="s">
        <v>385</v>
      </c>
      <c r="I9" s="3" t="s">
        <v>488</v>
      </c>
      <c r="J9" s="3" t="s">
        <v>701</v>
      </c>
      <c r="K9" s="3"/>
      <c r="L9" s="3" t="s">
        <v>355</v>
      </c>
      <c r="M9" s="3" t="s">
        <v>356</v>
      </c>
      <c r="N9" s="3"/>
      <c r="O9" s="3" t="s">
        <v>1776</v>
      </c>
      <c r="P9" s="3" t="s">
        <v>31</v>
      </c>
      <c r="Q9" s="3" t="s">
        <v>32</v>
      </c>
      <c r="R9" s="3">
        <v>1</v>
      </c>
      <c r="S9" s="3" t="s">
        <v>34</v>
      </c>
      <c r="T9" s="3" t="s">
        <v>1736</v>
      </c>
      <c r="U9" s="3" t="s">
        <v>1777</v>
      </c>
      <c r="V9" s="1" t="s">
        <v>1950</v>
      </c>
    </row>
    <row r="10" spans="1:22" ht="28.15" customHeight="1">
      <c r="A10" s="3" t="s">
        <v>1778</v>
      </c>
      <c r="B10" s="3" t="s">
        <v>1779</v>
      </c>
      <c r="C10" s="3" t="s">
        <v>1779</v>
      </c>
      <c r="D10" s="3" t="s">
        <v>1780</v>
      </c>
      <c r="E10" s="3" t="s">
        <v>24</v>
      </c>
      <c r="F10" s="3"/>
      <c r="G10" s="3" t="s">
        <v>898</v>
      </c>
      <c r="H10" s="3" t="s">
        <v>1781</v>
      </c>
      <c r="I10" s="3" t="s">
        <v>1782</v>
      </c>
      <c r="J10" s="3" t="s">
        <v>313</v>
      </c>
      <c r="K10" s="3"/>
      <c r="L10" s="3" t="s">
        <v>39</v>
      </c>
      <c r="M10" s="3" t="s">
        <v>40</v>
      </c>
      <c r="N10" s="3"/>
      <c r="O10" s="3" t="s">
        <v>1783</v>
      </c>
      <c r="P10" s="3" t="s">
        <v>31</v>
      </c>
      <c r="Q10" s="3" t="s">
        <v>32</v>
      </c>
      <c r="R10" s="3">
        <v>1</v>
      </c>
      <c r="S10" s="3" t="s">
        <v>34</v>
      </c>
      <c r="T10" s="3" t="s">
        <v>1736</v>
      </c>
      <c r="U10" s="3" t="s">
        <v>1784</v>
      </c>
      <c r="V10" s="1" t="s">
        <v>1962</v>
      </c>
    </row>
    <row r="11" spans="1:22" ht="28.15" customHeight="1">
      <c r="A11" s="3" t="s">
        <v>1785</v>
      </c>
      <c r="B11" s="3" t="s">
        <v>1765</v>
      </c>
      <c r="C11" s="3" t="s">
        <v>1765</v>
      </c>
      <c r="D11" s="3" t="s">
        <v>1786</v>
      </c>
      <c r="E11" s="3" t="s">
        <v>24</v>
      </c>
      <c r="F11" s="3"/>
      <c r="G11" s="3" t="s">
        <v>1767</v>
      </c>
      <c r="H11" s="3" t="s">
        <v>1787</v>
      </c>
      <c r="I11" s="3" t="s">
        <v>488</v>
      </c>
      <c r="J11" s="3" t="s">
        <v>701</v>
      </c>
      <c r="K11" s="3"/>
      <c r="L11" s="3" t="s">
        <v>355</v>
      </c>
      <c r="M11" s="3" t="s">
        <v>356</v>
      </c>
      <c r="N11" s="3"/>
      <c r="O11" s="3" t="s">
        <v>1788</v>
      </c>
      <c r="P11" s="3" t="s">
        <v>1770</v>
      </c>
      <c r="Q11" s="3" t="s">
        <v>32</v>
      </c>
      <c r="R11" s="3">
        <v>2</v>
      </c>
      <c r="S11" s="3" t="s">
        <v>34</v>
      </c>
      <c r="T11" s="3" t="s">
        <v>1736</v>
      </c>
      <c r="U11" s="3" t="s">
        <v>1789</v>
      </c>
      <c r="V11" s="1" t="s">
        <v>1950</v>
      </c>
    </row>
    <row r="12" spans="1:22" ht="28.15" customHeight="1">
      <c r="A12" s="3" t="s">
        <v>1790</v>
      </c>
      <c r="B12" s="3" t="s">
        <v>1791</v>
      </c>
      <c r="C12" s="3" t="s">
        <v>1791</v>
      </c>
      <c r="D12" s="3" t="s">
        <v>310</v>
      </c>
      <c r="E12" s="3" t="s">
        <v>24</v>
      </c>
      <c r="F12" s="3"/>
      <c r="G12" s="3" t="s">
        <v>311</v>
      </c>
      <c r="H12" s="3" t="s">
        <v>312</v>
      </c>
      <c r="I12" s="3" t="s">
        <v>1782</v>
      </c>
      <c r="J12" s="3" t="s">
        <v>313</v>
      </c>
      <c r="K12" s="3"/>
      <c r="L12" s="3" t="s">
        <v>39</v>
      </c>
      <c r="M12" s="3" t="s">
        <v>40</v>
      </c>
      <c r="N12" s="3"/>
      <c r="O12" s="3" t="s">
        <v>1792</v>
      </c>
      <c r="P12" s="3" t="s">
        <v>31</v>
      </c>
      <c r="Q12" s="3" t="s">
        <v>32</v>
      </c>
      <c r="R12" s="3">
        <v>1</v>
      </c>
      <c r="S12" s="3" t="s">
        <v>34</v>
      </c>
      <c r="T12" s="3" t="s">
        <v>1736</v>
      </c>
      <c r="U12" s="3" t="s">
        <v>1793</v>
      </c>
      <c r="V12" s="1" t="s">
        <v>1962</v>
      </c>
    </row>
    <row r="13" spans="1:22" ht="28.15" customHeight="1">
      <c r="A13" s="3" t="s">
        <v>1794</v>
      </c>
      <c r="B13" s="3" t="s">
        <v>1739</v>
      </c>
      <c r="C13" s="3" t="s">
        <v>1795</v>
      </c>
      <c r="D13" s="3" t="s">
        <v>1796</v>
      </c>
      <c r="E13" s="3"/>
      <c r="F13" s="3"/>
      <c r="G13" s="3"/>
      <c r="H13" s="3"/>
      <c r="I13" s="3" t="s">
        <v>1796</v>
      </c>
      <c r="J13" s="3" t="s">
        <v>1797</v>
      </c>
      <c r="K13" s="3"/>
      <c r="L13" s="3" t="s">
        <v>109</v>
      </c>
      <c r="M13" s="3" t="s">
        <v>110</v>
      </c>
      <c r="N13" s="3"/>
      <c r="O13" s="3" t="s">
        <v>1798</v>
      </c>
      <c r="P13" s="3" t="s">
        <v>838</v>
      </c>
      <c r="Q13" s="3" t="s">
        <v>43</v>
      </c>
      <c r="R13" s="3">
        <v>1</v>
      </c>
      <c r="S13" s="3" t="s">
        <v>34</v>
      </c>
      <c r="T13" s="3" t="s">
        <v>34</v>
      </c>
      <c r="U13" s="3"/>
      <c r="V13" s="1" t="s">
        <v>1959</v>
      </c>
    </row>
    <row r="14" spans="1:22" ht="28.15" customHeight="1">
      <c r="A14" s="3" t="s">
        <v>1799</v>
      </c>
      <c r="B14" s="3" t="s">
        <v>1800</v>
      </c>
      <c r="C14" s="3" t="s">
        <v>1800</v>
      </c>
      <c r="D14" s="3" t="s">
        <v>1801</v>
      </c>
      <c r="E14" s="3"/>
      <c r="F14" s="3"/>
      <c r="G14" s="3"/>
      <c r="H14" s="3"/>
      <c r="I14" s="3" t="s">
        <v>1801</v>
      </c>
      <c r="J14" s="3" t="s">
        <v>1802</v>
      </c>
      <c r="K14" s="3" t="s">
        <v>1803</v>
      </c>
      <c r="L14" s="3" t="s">
        <v>203</v>
      </c>
      <c r="M14" s="3" t="s">
        <v>204</v>
      </c>
      <c r="N14" s="3"/>
      <c r="O14" s="3" t="s">
        <v>1804</v>
      </c>
      <c r="P14" s="3" t="s">
        <v>838</v>
      </c>
      <c r="Q14" s="3" t="s">
        <v>43</v>
      </c>
      <c r="R14" s="3">
        <v>1</v>
      </c>
      <c r="S14" s="3" t="s">
        <v>34</v>
      </c>
      <c r="T14" s="3" t="s">
        <v>34</v>
      </c>
      <c r="U14" s="3"/>
      <c r="V14" s="1" t="s">
        <v>1963</v>
      </c>
    </row>
    <row r="15" spans="1:22" ht="28.15" customHeight="1">
      <c r="A15" s="3" t="s">
        <v>1805</v>
      </c>
      <c r="B15" s="3" t="s">
        <v>1806</v>
      </c>
      <c r="C15" s="3" t="s">
        <v>1806</v>
      </c>
      <c r="D15" s="3" t="s">
        <v>698</v>
      </c>
      <c r="E15" s="3" t="s">
        <v>24</v>
      </c>
      <c r="F15" s="3"/>
      <c r="G15" s="3" t="s">
        <v>699</v>
      </c>
      <c r="H15" s="3" t="s">
        <v>700</v>
      </c>
      <c r="I15" s="3" t="s">
        <v>488</v>
      </c>
      <c r="J15" s="3" t="s">
        <v>701</v>
      </c>
      <c r="K15" s="3"/>
      <c r="L15" s="3" t="s">
        <v>355</v>
      </c>
      <c r="M15" s="3" t="s">
        <v>356</v>
      </c>
      <c r="N15" s="3"/>
      <c r="O15" s="3" t="s">
        <v>1807</v>
      </c>
      <c r="P15" s="3" t="s">
        <v>703</v>
      </c>
      <c r="Q15" s="3" t="s">
        <v>32</v>
      </c>
      <c r="R15" s="3">
        <v>1</v>
      </c>
      <c r="S15" s="3" t="s">
        <v>34</v>
      </c>
      <c r="T15" s="3" t="s">
        <v>1736</v>
      </c>
      <c r="U15" s="3" t="s">
        <v>1808</v>
      </c>
      <c r="V15" s="1" t="s">
        <v>1950</v>
      </c>
    </row>
    <row r="16" spans="1:22" ht="28.15" customHeight="1">
      <c r="A16" s="3" t="s">
        <v>1809</v>
      </c>
      <c r="B16" s="3" t="s">
        <v>1721</v>
      </c>
      <c r="C16" s="3" t="s">
        <v>1722</v>
      </c>
      <c r="D16" s="3" t="s">
        <v>1810</v>
      </c>
      <c r="E16" s="3"/>
      <c r="F16" s="3"/>
      <c r="G16" s="3"/>
      <c r="H16" s="3"/>
      <c r="I16" s="3" t="s">
        <v>1810</v>
      </c>
      <c r="J16" s="3" t="s">
        <v>1811</v>
      </c>
      <c r="K16" s="3" t="s">
        <v>1812</v>
      </c>
      <c r="L16" s="3" t="s">
        <v>109</v>
      </c>
      <c r="M16" s="3" t="s">
        <v>110</v>
      </c>
      <c r="N16" s="3" t="s">
        <v>1726</v>
      </c>
      <c r="O16" s="3" t="s">
        <v>1813</v>
      </c>
      <c r="P16" s="3" t="s">
        <v>838</v>
      </c>
      <c r="Q16" s="3" t="s">
        <v>43</v>
      </c>
      <c r="R16" s="3">
        <v>1</v>
      </c>
      <c r="S16" s="3" t="s">
        <v>34</v>
      </c>
      <c r="T16" s="3" t="s">
        <v>34</v>
      </c>
      <c r="U16" s="3"/>
      <c r="V16" s="1" t="s">
        <v>1964</v>
      </c>
    </row>
    <row r="17" spans="1:22" ht="28.15" customHeight="1">
      <c r="A17" s="3" t="s">
        <v>1814</v>
      </c>
      <c r="B17" s="3" t="s">
        <v>1815</v>
      </c>
      <c r="C17" s="3" t="s">
        <v>1815</v>
      </c>
      <c r="D17" s="3" t="s">
        <v>1810</v>
      </c>
      <c r="E17" s="3"/>
      <c r="F17" s="3"/>
      <c r="G17" s="3"/>
      <c r="H17" s="3"/>
      <c r="I17" s="3" t="s">
        <v>1810</v>
      </c>
      <c r="J17" s="3" t="s">
        <v>1816</v>
      </c>
      <c r="K17" s="3" t="s">
        <v>1725</v>
      </c>
      <c r="L17" s="3" t="s">
        <v>109</v>
      </c>
      <c r="M17" s="3" t="s">
        <v>110</v>
      </c>
      <c r="N17" s="3" t="s">
        <v>1726</v>
      </c>
      <c r="O17" s="3" t="s">
        <v>1817</v>
      </c>
      <c r="P17" s="3" t="s">
        <v>838</v>
      </c>
      <c r="Q17" s="3" t="s">
        <v>43</v>
      </c>
      <c r="R17" s="3">
        <v>1</v>
      </c>
      <c r="S17" s="3" t="s">
        <v>34</v>
      </c>
      <c r="T17" s="3" t="s">
        <v>34</v>
      </c>
      <c r="U17" s="3" t="s">
        <v>1818</v>
      </c>
      <c r="V17" s="1" t="s">
        <v>1964</v>
      </c>
    </row>
    <row r="18" spans="1:22" ht="28.15" customHeight="1">
      <c r="A18" s="3" t="s">
        <v>1819</v>
      </c>
      <c r="B18" s="3" t="s">
        <v>1800</v>
      </c>
      <c r="C18" s="3" t="s">
        <v>1800</v>
      </c>
      <c r="D18" s="3" t="s">
        <v>1820</v>
      </c>
      <c r="E18" s="3"/>
      <c r="F18" s="3"/>
      <c r="G18" s="3"/>
      <c r="H18" s="3"/>
      <c r="I18" s="3" t="s">
        <v>1821</v>
      </c>
      <c r="J18" s="3"/>
      <c r="K18" s="3"/>
      <c r="L18" s="3" t="s">
        <v>203</v>
      </c>
      <c r="M18" s="3" t="s">
        <v>204</v>
      </c>
      <c r="N18" s="3"/>
      <c r="O18" s="3" t="s">
        <v>1822</v>
      </c>
      <c r="P18" s="3" t="s">
        <v>185</v>
      </c>
      <c r="Q18" s="3" t="s">
        <v>43</v>
      </c>
      <c r="R18" s="3">
        <v>3</v>
      </c>
      <c r="S18" s="3" t="s">
        <v>34</v>
      </c>
      <c r="T18" s="3" t="s">
        <v>1736</v>
      </c>
      <c r="U18" s="3" t="s">
        <v>1823</v>
      </c>
      <c r="V18" s="1" t="s">
        <v>1965</v>
      </c>
    </row>
    <row r="19" spans="1:22" ht="28.15" customHeight="1">
      <c r="A19" s="3" t="s">
        <v>1824</v>
      </c>
      <c r="B19" s="3" t="s">
        <v>1800</v>
      </c>
      <c r="C19" s="3" t="s">
        <v>1800</v>
      </c>
      <c r="D19" s="3" t="s">
        <v>1825</v>
      </c>
      <c r="E19" s="3"/>
      <c r="F19" s="3"/>
      <c r="G19" s="3"/>
      <c r="H19" s="3"/>
      <c r="I19" s="3" t="s">
        <v>1825</v>
      </c>
      <c r="J19" s="3" t="s">
        <v>1826</v>
      </c>
      <c r="K19" s="3"/>
      <c r="L19" s="3" t="s">
        <v>289</v>
      </c>
      <c r="M19" s="3" t="s">
        <v>290</v>
      </c>
      <c r="N19" s="3"/>
      <c r="O19" s="3" t="s">
        <v>1827</v>
      </c>
      <c r="P19" s="3" t="s">
        <v>838</v>
      </c>
      <c r="Q19" s="3" t="s">
        <v>43</v>
      </c>
      <c r="R19" s="3">
        <v>1</v>
      </c>
      <c r="S19" s="3" t="s">
        <v>34</v>
      </c>
      <c r="T19" s="3" t="s">
        <v>34</v>
      </c>
      <c r="U19" s="3"/>
      <c r="V19" s="1" t="s">
        <v>1966</v>
      </c>
    </row>
    <row r="20" spans="1:22" ht="28.15" customHeight="1">
      <c r="A20" s="3" t="s">
        <v>1828</v>
      </c>
      <c r="B20" s="3" t="s">
        <v>1800</v>
      </c>
      <c r="C20" s="3" t="s">
        <v>1800</v>
      </c>
      <c r="D20" s="3" t="s">
        <v>1829</v>
      </c>
      <c r="E20" s="3"/>
      <c r="F20" s="3"/>
      <c r="G20" s="3"/>
      <c r="H20" s="3"/>
      <c r="I20" s="3" t="s">
        <v>1830</v>
      </c>
      <c r="J20" s="3" t="s">
        <v>1831</v>
      </c>
      <c r="K20" s="3"/>
      <c r="L20" s="3" t="s">
        <v>1744</v>
      </c>
      <c r="M20" s="3" t="s">
        <v>1745</v>
      </c>
      <c r="N20" s="3"/>
      <c r="O20" s="3" t="s">
        <v>1832</v>
      </c>
      <c r="P20" s="3" t="s">
        <v>185</v>
      </c>
      <c r="Q20" s="3" t="s">
        <v>43</v>
      </c>
      <c r="R20" s="3">
        <v>1</v>
      </c>
      <c r="S20" s="3" t="s">
        <v>34</v>
      </c>
      <c r="T20" s="3" t="s">
        <v>1736</v>
      </c>
      <c r="U20" s="3" t="s">
        <v>1833</v>
      </c>
      <c r="V20" s="1" t="s">
        <v>1961</v>
      </c>
    </row>
    <row r="21" spans="1:22" ht="28.15" customHeight="1">
      <c r="A21" s="3" t="s">
        <v>1834</v>
      </c>
      <c r="B21" s="3" t="s">
        <v>1835</v>
      </c>
      <c r="C21" s="3" t="s">
        <v>1835</v>
      </c>
      <c r="D21" s="3" t="s">
        <v>1836</v>
      </c>
      <c r="E21" s="3"/>
      <c r="F21" s="3"/>
      <c r="G21" s="3"/>
      <c r="H21" s="3"/>
      <c r="I21" s="3" t="s">
        <v>1837</v>
      </c>
      <c r="J21" s="3" t="s">
        <v>974</v>
      </c>
      <c r="K21" s="3"/>
      <c r="L21" s="3" t="s">
        <v>1838</v>
      </c>
      <c r="M21" s="3" t="s">
        <v>878</v>
      </c>
      <c r="N21" s="3"/>
      <c r="O21" s="3" t="s">
        <v>1839</v>
      </c>
      <c r="P21" s="3" t="s">
        <v>185</v>
      </c>
      <c r="Q21" s="3" t="s">
        <v>43</v>
      </c>
      <c r="R21" s="3">
        <v>1</v>
      </c>
      <c r="S21" s="3" t="s">
        <v>34</v>
      </c>
      <c r="T21" s="3" t="s">
        <v>1736</v>
      </c>
      <c r="U21" s="3" t="s">
        <v>1840</v>
      </c>
      <c r="V21" s="1" t="s">
        <v>1955</v>
      </c>
    </row>
    <row r="22" spans="1:22" ht="28.15" customHeight="1">
      <c r="A22" s="3" t="s">
        <v>1841</v>
      </c>
      <c r="B22" s="3" t="s">
        <v>1842</v>
      </c>
      <c r="C22" s="3" t="s">
        <v>1842</v>
      </c>
      <c r="D22" s="3" t="s">
        <v>1843</v>
      </c>
      <c r="E22" s="3"/>
      <c r="F22" s="3"/>
      <c r="G22" s="3"/>
      <c r="H22" s="3"/>
      <c r="I22" s="3" t="s">
        <v>1843</v>
      </c>
      <c r="J22" s="3" t="s">
        <v>1844</v>
      </c>
      <c r="K22" s="3"/>
      <c r="L22" s="3" t="s">
        <v>1845</v>
      </c>
      <c r="M22" s="3" t="s">
        <v>1846</v>
      </c>
      <c r="N22" s="3"/>
      <c r="O22" s="3" t="s">
        <v>1847</v>
      </c>
      <c r="P22" s="3" t="s">
        <v>838</v>
      </c>
      <c r="Q22" s="3" t="s">
        <v>43</v>
      </c>
      <c r="R22" s="3">
        <v>1</v>
      </c>
      <c r="S22" s="3" t="s">
        <v>34</v>
      </c>
      <c r="T22" s="3" t="s">
        <v>34</v>
      </c>
      <c r="U22" s="3" t="s">
        <v>1848</v>
      </c>
      <c r="V22" s="1" t="s">
        <v>1967</v>
      </c>
    </row>
    <row r="23" spans="1:22" ht="28.5">
      <c r="A23" t="s">
        <v>1849</v>
      </c>
      <c r="B23" s="3" t="s">
        <v>1850</v>
      </c>
      <c r="C23" t="s">
        <v>1851</v>
      </c>
      <c r="D23" t="s">
        <v>1852</v>
      </c>
      <c r="E23" t="s">
        <v>24</v>
      </c>
      <c r="G23" t="s">
        <v>1413</v>
      </c>
      <c r="H23" t="s">
        <v>1414</v>
      </c>
      <c r="I23" t="s">
        <v>1853</v>
      </c>
      <c r="J23" t="s">
        <v>1854</v>
      </c>
      <c r="K23" t="s">
        <v>1855</v>
      </c>
      <c r="L23" t="s">
        <v>203</v>
      </c>
      <c r="M23" t="s">
        <v>204</v>
      </c>
      <c r="O23" t="s">
        <v>1856</v>
      </c>
      <c r="P23" t="s">
        <v>31</v>
      </c>
      <c r="Q23" t="s">
        <v>32</v>
      </c>
      <c r="R23">
        <v>1</v>
      </c>
      <c r="S23" t="s">
        <v>34</v>
      </c>
      <c r="T23" t="s">
        <v>1736</v>
      </c>
      <c r="U23" t="s">
        <v>1857</v>
      </c>
      <c r="V23" s="1" t="s">
        <v>1968</v>
      </c>
    </row>
    <row r="24" spans="1:22" ht="28.5">
      <c r="A24" t="s">
        <v>1849</v>
      </c>
      <c r="B24" s="5" t="s">
        <v>1858</v>
      </c>
      <c r="C24" t="s">
        <v>1851</v>
      </c>
      <c r="D24" t="s">
        <v>1852</v>
      </c>
      <c r="E24" t="s">
        <v>24</v>
      </c>
      <c r="G24" t="s">
        <v>1413</v>
      </c>
      <c r="H24" t="s">
        <v>1414</v>
      </c>
      <c r="I24" t="s">
        <v>1853</v>
      </c>
      <c r="J24" t="s">
        <v>1854</v>
      </c>
      <c r="K24" t="s">
        <v>1855</v>
      </c>
      <c r="L24" t="s">
        <v>203</v>
      </c>
      <c r="M24" t="s">
        <v>204</v>
      </c>
      <c r="O24" t="s">
        <v>1856</v>
      </c>
      <c r="P24" t="s">
        <v>31</v>
      </c>
      <c r="Q24" t="s">
        <v>32</v>
      </c>
      <c r="R24">
        <v>1</v>
      </c>
      <c r="S24" t="s">
        <v>34</v>
      </c>
      <c r="T24" t="s">
        <v>1736</v>
      </c>
      <c r="U24" t="s">
        <v>1857</v>
      </c>
      <c r="V24" s="1" t="s">
        <v>1968</v>
      </c>
    </row>
    <row r="25" spans="1:22" ht="28.5">
      <c r="A25" t="s">
        <v>1849</v>
      </c>
      <c r="B25" s="5" t="s">
        <v>1859</v>
      </c>
      <c r="C25" t="s">
        <v>1851</v>
      </c>
      <c r="D25" t="s">
        <v>1852</v>
      </c>
      <c r="E25" t="s">
        <v>24</v>
      </c>
      <c r="G25" t="s">
        <v>1413</v>
      </c>
      <c r="H25" t="s">
        <v>1414</v>
      </c>
      <c r="I25" t="s">
        <v>1853</v>
      </c>
      <c r="J25" t="s">
        <v>1854</v>
      </c>
      <c r="K25" t="s">
        <v>1855</v>
      </c>
      <c r="L25" t="s">
        <v>203</v>
      </c>
      <c r="M25" t="s">
        <v>204</v>
      </c>
      <c r="O25" t="s">
        <v>1856</v>
      </c>
      <c r="P25" t="s">
        <v>31</v>
      </c>
      <c r="Q25" t="s">
        <v>32</v>
      </c>
      <c r="R25">
        <v>1</v>
      </c>
      <c r="S25" t="s">
        <v>34</v>
      </c>
      <c r="T25" t="s">
        <v>1736</v>
      </c>
      <c r="U25" t="s">
        <v>1857</v>
      </c>
      <c r="V25" s="1" t="s">
        <v>1968</v>
      </c>
    </row>
    <row r="26" spans="1:22" ht="28.5">
      <c r="A26" t="s">
        <v>1849</v>
      </c>
      <c r="B26" s="5" t="s">
        <v>1860</v>
      </c>
      <c r="C26" t="s">
        <v>1851</v>
      </c>
      <c r="D26" t="s">
        <v>1852</v>
      </c>
      <c r="E26" t="s">
        <v>24</v>
      </c>
      <c r="G26" t="s">
        <v>1413</v>
      </c>
      <c r="H26" t="s">
        <v>1414</v>
      </c>
      <c r="I26" t="s">
        <v>1853</v>
      </c>
      <c r="J26" t="s">
        <v>1854</v>
      </c>
      <c r="K26" t="s">
        <v>1855</v>
      </c>
      <c r="L26" t="s">
        <v>203</v>
      </c>
      <c r="M26" t="s">
        <v>204</v>
      </c>
      <c r="O26" t="s">
        <v>1856</v>
      </c>
      <c r="P26" t="s">
        <v>31</v>
      </c>
      <c r="Q26" t="s">
        <v>32</v>
      </c>
      <c r="R26">
        <v>1</v>
      </c>
      <c r="S26" t="s">
        <v>34</v>
      </c>
      <c r="T26" t="s">
        <v>1736</v>
      </c>
      <c r="U26" t="s">
        <v>1857</v>
      </c>
      <c r="V26" s="1" t="s">
        <v>1968</v>
      </c>
    </row>
    <row r="27" spans="1:22" ht="42.75">
      <c r="A27" t="s">
        <v>2047</v>
      </c>
      <c r="B27" t="s">
        <v>2043</v>
      </c>
      <c r="C27" t="s">
        <v>2043</v>
      </c>
      <c r="D27" t="s">
        <v>2048</v>
      </c>
      <c r="E27" t="s">
        <v>24</v>
      </c>
      <c r="F27" t="s">
        <v>1405</v>
      </c>
      <c r="G27" t="s">
        <v>2044</v>
      </c>
      <c r="H27" t="s">
        <v>2045</v>
      </c>
      <c r="J27" t="s">
        <v>2046</v>
      </c>
      <c r="L27">
        <v>95330</v>
      </c>
      <c r="M27" t="s">
        <v>574</v>
      </c>
      <c r="O27" s="35" t="s">
        <v>2049</v>
      </c>
      <c r="P27" t="s">
        <v>42</v>
      </c>
      <c r="Q27" t="s">
        <v>43</v>
      </c>
      <c r="R27">
        <v>1</v>
      </c>
      <c r="S27" t="s">
        <v>34</v>
      </c>
      <c r="T27" t="s">
        <v>1736</v>
      </c>
      <c r="U27" t="s">
        <v>2050</v>
      </c>
    </row>
    <row r="28" spans="1:22" ht="42.75">
      <c r="A28" t="s">
        <v>2058</v>
      </c>
      <c r="B28" t="s">
        <v>2043</v>
      </c>
      <c r="C28" t="s">
        <v>2043</v>
      </c>
      <c r="D28" t="s">
        <v>2059</v>
      </c>
      <c r="E28" t="s">
        <v>24</v>
      </c>
      <c r="F28" t="s">
        <v>1405</v>
      </c>
      <c r="G28" t="s">
        <v>2054</v>
      </c>
      <c r="H28" t="s">
        <v>2055</v>
      </c>
      <c r="J28" t="s">
        <v>2065</v>
      </c>
      <c r="L28" t="s">
        <v>2056</v>
      </c>
      <c r="M28" t="s">
        <v>2057</v>
      </c>
      <c r="O28" s="35" t="s">
        <v>2066</v>
      </c>
      <c r="P28" t="s">
        <v>2061</v>
      </c>
      <c r="Q28" t="s">
        <v>32</v>
      </c>
      <c r="R28">
        <v>100</v>
      </c>
      <c r="S28" t="s">
        <v>34</v>
      </c>
      <c r="T28" t="s">
        <v>1736</v>
      </c>
      <c r="U28" t="s">
        <v>2050</v>
      </c>
    </row>
    <row r="29" spans="1:22" ht="71.25">
      <c r="A29" t="s">
        <v>2070</v>
      </c>
      <c r="B29" t="s">
        <v>2067</v>
      </c>
      <c r="C29" t="s">
        <v>2067</v>
      </c>
      <c r="D29" t="s">
        <v>2071</v>
      </c>
      <c r="E29" t="s">
        <v>24</v>
      </c>
      <c r="F29" t="s">
        <v>1405</v>
      </c>
      <c r="G29" t="s">
        <v>2069</v>
      </c>
      <c r="H29" t="s">
        <v>2072</v>
      </c>
      <c r="I29" t="s">
        <v>1830</v>
      </c>
      <c r="J29" t="s">
        <v>1831</v>
      </c>
      <c r="L29">
        <v>95520</v>
      </c>
      <c r="M29" t="s">
        <v>1745</v>
      </c>
      <c r="N29" t="s">
        <v>1754</v>
      </c>
      <c r="O29" s="35" t="s">
        <v>2073</v>
      </c>
      <c r="P29" t="s">
        <v>42</v>
      </c>
      <c r="Q29" t="s">
        <v>43</v>
      </c>
      <c r="R29">
        <v>1</v>
      </c>
      <c r="S29" t="s">
        <v>34</v>
      </c>
      <c r="T29" t="s">
        <v>1736</v>
      </c>
      <c r="U29" t="s">
        <v>2050</v>
      </c>
      <c r="V29" t="s">
        <v>1961</v>
      </c>
    </row>
  </sheetData>
  <dataValidations count="1">
    <dataValidation type="list" sqref="B2:B22 B24:B26">
      <formula1>"ECHODOPPLER_ARTERIEL,ECHODOPPLER_VEINEUX,ECHODOPPLER_VAISSEAUX_DU_COU,ECHODOPPLER_MEMBRES_INFERIEURS,TEST_EFFORT,SCINTIGRAPHIE_MYOCARDIQUE,COROSCANNER,SCORE_CALCIQUE,IRM,AVIS_NEUROLOGIE,AVIS_RYTHMOLOGIE,AVIS_VASCULAIRE,A_COMPLETER"</formula1>
    </dataValidation>
  </dataValidation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6"/>
  <sheetViews>
    <sheetView topLeftCell="F16" workbookViewId="0">
      <selection activeCell="M26" sqref="M26"/>
    </sheetView>
  </sheetViews>
  <sheetFormatPr baseColWidth="10" defaultColWidth="8.75" defaultRowHeight="14.25"/>
  <cols>
    <col min="1" max="2" width="18" style="6" customWidth="1"/>
    <col min="3" max="3" width="24" style="6" customWidth="1"/>
    <col min="4" max="4" width="30" style="6" customWidth="1"/>
    <col min="5" max="5" width="28" style="6" customWidth="1"/>
    <col min="6" max="6" width="12" style="6" customWidth="1"/>
    <col min="7" max="7" width="22" style="6" customWidth="1"/>
    <col min="8" max="8" width="40" style="6" customWidth="1"/>
    <col min="9" max="9" width="22" style="6" customWidth="1"/>
    <col min="10" max="12" width="10" style="6" customWidth="1"/>
    <col min="13" max="13" width="28" style="6" customWidth="1"/>
    <col min="14" max="14" width="18.25" style="6" customWidth="1"/>
    <col min="15" max="15" width="16" style="6" customWidth="1"/>
    <col min="16" max="16384" width="8.75" style="6"/>
  </cols>
  <sheetData>
    <row r="1" spans="1:15" ht="14.25" customHeight="1">
      <c r="A1" s="2" t="s">
        <v>1861</v>
      </c>
      <c r="B1" s="2" t="s">
        <v>1862</v>
      </c>
      <c r="C1" s="2" t="s">
        <v>1716</v>
      </c>
      <c r="D1" s="2" t="s">
        <v>1718</v>
      </c>
      <c r="E1" s="2" t="s">
        <v>6</v>
      </c>
      <c r="F1" s="8" t="s">
        <v>9</v>
      </c>
      <c r="G1" s="2" t="s">
        <v>10</v>
      </c>
      <c r="H1" s="2" t="s">
        <v>12</v>
      </c>
      <c r="I1" s="2" t="s">
        <v>13</v>
      </c>
      <c r="J1" s="2" t="s">
        <v>1719</v>
      </c>
      <c r="K1" s="2" t="s">
        <v>17</v>
      </c>
      <c r="L1" s="2" t="s">
        <v>18</v>
      </c>
      <c r="M1" s="2" t="s">
        <v>1863</v>
      </c>
      <c r="N1" s="2" t="s">
        <v>1864</v>
      </c>
      <c r="O1" s="2" t="s">
        <v>14</v>
      </c>
    </row>
    <row r="2" spans="1:15" ht="45.4" customHeight="1">
      <c r="A2" s="3" t="s">
        <v>1865</v>
      </c>
      <c r="B2" s="3" t="s">
        <v>1785</v>
      </c>
      <c r="C2" s="3" t="s">
        <v>1765</v>
      </c>
      <c r="D2" s="3" t="s">
        <v>1786</v>
      </c>
      <c r="E2" s="3" t="s">
        <v>1866</v>
      </c>
      <c r="F2" s="3">
        <v>93207</v>
      </c>
      <c r="G2" s="3" t="s">
        <v>356</v>
      </c>
      <c r="H2" s="3" t="s">
        <v>1788</v>
      </c>
      <c r="I2" s="3" t="s">
        <v>1770</v>
      </c>
      <c r="J2" s="3">
        <v>2</v>
      </c>
      <c r="K2" s="3" t="s">
        <v>34</v>
      </c>
      <c r="L2" s="3" t="s">
        <v>1736</v>
      </c>
      <c r="M2" s="6" t="s">
        <v>1867</v>
      </c>
      <c r="N2" s="6" t="s">
        <v>1868</v>
      </c>
      <c r="O2" s="6" t="s">
        <v>32</v>
      </c>
    </row>
    <row r="3" spans="1:15" ht="45.4" customHeight="1">
      <c r="A3" s="3" t="s">
        <v>1869</v>
      </c>
      <c r="B3" s="3" t="s">
        <v>1764</v>
      </c>
      <c r="C3" s="3" t="s">
        <v>1765</v>
      </c>
      <c r="D3" s="3" t="s">
        <v>1766</v>
      </c>
      <c r="E3" s="3" t="s">
        <v>1866</v>
      </c>
      <c r="F3" s="3">
        <v>93207</v>
      </c>
      <c r="G3" s="3" t="s">
        <v>356</v>
      </c>
      <c r="H3" s="3" t="s">
        <v>1870</v>
      </c>
      <c r="I3" s="3" t="s">
        <v>1770</v>
      </c>
      <c r="J3" s="3">
        <v>1</v>
      </c>
      <c r="K3" s="3" t="s">
        <v>34</v>
      </c>
      <c r="L3" s="3" t="s">
        <v>1736</v>
      </c>
      <c r="M3" s="6" t="s">
        <v>1871</v>
      </c>
      <c r="N3" s="6" t="s">
        <v>1868</v>
      </c>
      <c r="O3" s="6" t="s">
        <v>32</v>
      </c>
    </row>
    <row r="4" spans="1:15" ht="41.85" customHeight="1">
      <c r="A4" s="3" t="s">
        <v>1872</v>
      </c>
      <c r="B4" s="3" t="s">
        <v>1728</v>
      </c>
      <c r="C4" s="3" t="s">
        <v>1729</v>
      </c>
      <c r="D4" s="3" t="s">
        <v>1731</v>
      </c>
      <c r="E4" s="3" t="s">
        <v>1866</v>
      </c>
      <c r="F4" s="3">
        <v>93207</v>
      </c>
      <c r="G4" s="3" t="s">
        <v>356</v>
      </c>
      <c r="H4" s="3" t="s">
        <v>1873</v>
      </c>
      <c r="I4" s="3" t="s">
        <v>1735</v>
      </c>
      <c r="J4" s="3">
        <v>1</v>
      </c>
      <c r="K4" s="3" t="s">
        <v>34</v>
      </c>
      <c r="L4" s="3" t="s">
        <v>1736</v>
      </c>
      <c r="M4" s="6" t="s">
        <v>1874</v>
      </c>
      <c r="N4" s="6" t="s">
        <v>1868</v>
      </c>
      <c r="O4" s="6" t="s">
        <v>32</v>
      </c>
    </row>
    <row r="5" spans="1:15" ht="40.9" customHeight="1">
      <c r="A5" s="3" t="s">
        <v>1875</v>
      </c>
      <c r="B5" s="3" t="s">
        <v>1756</v>
      </c>
      <c r="C5" s="3" t="s">
        <v>1757</v>
      </c>
      <c r="D5" s="3" t="s">
        <v>1758</v>
      </c>
      <c r="E5" s="3" t="s">
        <v>1876</v>
      </c>
      <c r="F5" s="3">
        <v>95310</v>
      </c>
      <c r="G5" s="3" t="s">
        <v>1877</v>
      </c>
      <c r="H5" s="3" t="s">
        <v>1878</v>
      </c>
      <c r="I5" s="3" t="s">
        <v>687</v>
      </c>
      <c r="J5" s="3">
        <v>1</v>
      </c>
      <c r="K5" s="3" t="s">
        <v>34</v>
      </c>
      <c r="L5" s="3" t="s">
        <v>1736</v>
      </c>
      <c r="M5" s="6" t="s">
        <v>1879</v>
      </c>
      <c r="N5" s="6" t="s">
        <v>1868</v>
      </c>
      <c r="O5" s="6" t="s">
        <v>32</v>
      </c>
    </row>
    <row r="6" spans="1:15" ht="28.15" customHeight="1">
      <c r="A6" s="3" t="s">
        <v>1880</v>
      </c>
      <c r="B6" s="3" t="s">
        <v>1849</v>
      </c>
      <c r="C6" s="3" t="s">
        <v>1850</v>
      </c>
      <c r="D6" s="6" t="s">
        <v>1852</v>
      </c>
      <c r="E6" s="7" t="s">
        <v>1881</v>
      </c>
      <c r="F6" s="6">
        <v>60500</v>
      </c>
      <c r="G6" s="6" t="s">
        <v>204</v>
      </c>
      <c r="H6" s="7" t="s">
        <v>1856</v>
      </c>
      <c r="I6" s="6" t="s">
        <v>31</v>
      </c>
      <c r="J6" s="6">
        <v>1</v>
      </c>
      <c r="K6" s="6" t="s">
        <v>34</v>
      </c>
      <c r="L6" s="3" t="s">
        <v>1736</v>
      </c>
      <c r="M6" s="6" t="s">
        <v>1414</v>
      </c>
      <c r="N6" s="6" t="s">
        <v>1868</v>
      </c>
      <c r="O6" s="6" t="s">
        <v>32</v>
      </c>
    </row>
    <row r="7" spans="1:15" ht="28.15" customHeight="1">
      <c r="A7" s="3" t="s">
        <v>1882</v>
      </c>
      <c r="B7" s="3" t="s">
        <v>1778</v>
      </c>
      <c r="C7" s="3" t="s">
        <v>1779</v>
      </c>
      <c r="D7" s="3" t="s">
        <v>1780</v>
      </c>
      <c r="E7" s="3" t="s">
        <v>1883</v>
      </c>
      <c r="F7" s="3">
        <v>95290</v>
      </c>
      <c r="G7" s="3" t="s">
        <v>40</v>
      </c>
      <c r="H7" s="3" t="s">
        <v>1884</v>
      </c>
      <c r="I7" s="3" t="s">
        <v>31</v>
      </c>
      <c r="J7" s="3">
        <v>1</v>
      </c>
      <c r="K7" s="3" t="s">
        <v>34</v>
      </c>
      <c r="L7" s="3" t="s">
        <v>1736</v>
      </c>
      <c r="M7" s="6" t="s">
        <v>1885</v>
      </c>
      <c r="N7" s="6" t="s">
        <v>1868</v>
      </c>
      <c r="O7" s="6" t="s">
        <v>32</v>
      </c>
    </row>
    <row r="8" spans="1:15" ht="28.15" customHeight="1">
      <c r="A8" s="3" t="s">
        <v>1886</v>
      </c>
      <c r="B8" s="3" t="s">
        <v>1728</v>
      </c>
      <c r="C8" s="3" t="s">
        <v>1806</v>
      </c>
      <c r="D8" s="3" t="s">
        <v>1731</v>
      </c>
      <c r="E8" s="3" t="s">
        <v>1866</v>
      </c>
      <c r="F8" s="3">
        <v>93207</v>
      </c>
      <c r="G8" s="3" t="s">
        <v>356</v>
      </c>
      <c r="H8" s="3" t="s">
        <v>1887</v>
      </c>
      <c r="I8" s="3" t="s">
        <v>1735</v>
      </c>
      <c r="J8" s="3">
        <v>2</v>
      </c>
      <c r="K8" s="3" t="s">
        <v>34</v>
      </c>
      <c r="L8" s="3" t="s">
        <v>1736</v>
      </c>
      <c r="M8" s="6" t="s">
        <v>1888</v>
      </c>
      <c r="N8" s="6" t="s">
        <v>1868</v>
      </c>
      <c r="O8" s="6" t="s">
        <v>32</v>
      </c>
    </row>
    <row r="9" spans="1:15" ht="28.15" customHeight="1">
      <c r="A9" s="3" t="s">
        <v>1889</v>
      </c>
      <c r="B9" s="3" t="s">
        <v>1805</v>
      </c>
      <c r="C9" s="3" t="s">
        <v>1806</v>
      </c>
      <c r="D9" s="3" t="s">
        <v>698</v>
      </c>
      <c r="E9" s="3" t="s">
        <v>1866</v>
      </c>
      <c r="F9" s="3">
        <v>93207</v>
      </c>
      <c r="G9" s="3" t="s">
        <v>356</v>
      </c>
      <c r="H9" s="3" t="s">
        <v>1807</v>
      </c>
      <c r="I9" s="3" t="s">
        <v>703</v>
      </c>
      <c r="J9" s="3">
        <v>1</v>
      </c>
      <c r="K9" s="3" t="s">
        <v>34</v>
      </c>
      <c r="L9" s="3" t="s">
        <v>1736</v>
      </c>
      <c r="M9" s="6" t="s">
        <v>1890</v>
      </c>
      <c r="N9" s="6" t="s">
        <v>1868</v>
      </c>
      <c r="O9" s="6" t="s">
        <v>32</v>
      </c>
    </row>
    <row r="10" spans="1:15" ht="28.15" customHeight="1">
      <c r="A10" s="3" t="s">
        <v>1891</v>
      </c>
      <c r="B10" s="3" t="s">
        <v>1790</v>
      </c>
      <c r="C10" s="3" t="s">
        <v>1791</v>
      </c>
      <c r="D10" s="3" t="s">
        <v>310</v>
      </c>
      <c r="E10" s="3" t="s">
        <v>1883</v>
      </c>
      <c r="F10" s="3">
        <v>95290</v>
      </c>
      <c r="G10" s="3" t="s">
        <v>40</v>
      </c>
      <c r="H10" s="3" t="s">
        <v>1792</v>
      </c>
      <c r="I10" s="3" t="s">
        <v>31</v>
      </c>
      <c r="J10" s="3">
        <v>1</v>
      </c>
      <c r="K10" s="3" t="s">
        <v>34</v>
      </c>
      <c r="L10" s="3" t="s">
        <v>1736</v>
      </c>
      <c r="M10" s="6" t="s">
        <v>1892</v>
      </c>
      <c r="N10" s="6" t="s">
        <v>1868</v>
      </c>
      <c r="O10" s="6" t="s">
        <v>32</v>
      </c>
    </row>
    <row r="11" spans="1:15" ht="28.15" customHeight="1">
      <c r="A11" s="3" t="s">
        <v>1893</v>
      </c>
      <c r="B11" s="3" t="s">
        <v>1720</v>
      </c>
      <c r="C11" s="3" t="s">
        <v>1721</v>
      </c>
      <c r="D11" s="3" t="s">
        <v>1894</v>
      </c>
      <c r="E11" s="3" t="s">
        <v>1895</v>
      </c>
      <c r="F11" s="3">
        <v>95200</v>
      </c>
      <c r="G11" s="3" t="s">
        <v>110</v>
      </c>
      <c r="H11" s="3" t="s">
        <v>1896</v>
      </c>
      <c r="I11" s="3" t="s">
        <v>1897</v>
      </c>
      <c r="J11" s="3">
        <v>1</v>
      </c>
      <c r="K11" s="3" t="s">
        <v>34</v>
      </c>
      <c r="L11" s="3" t="s">
        <v>1736</v>
      </c>
      <c r="M11" s="6" t="s">
        <v>1898</v>
      </c>
      <c r="N11" s="6" t="s">
        <v>1868</v>
      </c>
      <c r="O11" s="6" t="s">
        <v>32</v>
      </c>
    </row>
    <row r="12" spans="1:15" ht="38.450000000000003" customHeight="1">
      <c r="A12" s="3" t="s">
        <v>1899</v>
      </c>
      <c r="B12" s="3" t="s">
        <v>1814</v>
      </c>
      <c r="C12" s="3" t="s">
        <v>1815</v>
      </c>
      <c r="D12" s="3" t="s">
        <v>1723</v>
      </c>
      <c r="E12" s="3" t="s">
        <v>1895</v>
      </c>
      <c r="F12" s="3">
        <v>95200</v>
      </c>
      <c r="G12" s="3" t="s">
        <v>110</v>
      </c>
      <c r="H12" s="3" t="s">
        <v>1900</v>
      </c>
      <c r="I12" s="3" t="s">
        <v>31</v>
      </c>
      <c r="J12" s="3">
        <v>1</v>
      </c>
      <c r="K12" s="3" t="s">
        <v>34</v>
      </c>
      <c r="L12" s="3" t="s">
        <v>1736</v>
      </c>
      <c r="M12" s="6" t="s">
        <v>1901</v>
      </c>
      <c r="N12" s="6" t="s">
        <v>1868</v>
      </c>
      <c r="O12" s="6" t="s">
        <v>32</v>
      </c>
    </row>
    <row r="13" spans="1:15" ht="28.15" customHeight="1">
      <c r="A13" s="3" t="s">
        <v>1902</v>
      </c>
      <c r="B13" s="3" t="s">
        <v>1824</v>
      </c>
      <c r="C13" s="3" t="s">
        <v>1800</v>
      </c>
      <c r="D13" s="3" t="s">
        <v>1903</v>
      </c>
      <c r="E13" s="3" t="s">
        <v>1904</v>
      </c>
      <c r="F13" s="3">
        <v>60000</v>
      </c>
      <c r="G13" s="3" t="s">
        <v>290</v>
      </c>
      <c r="H13" s="3" t="s">
        <v>1827</v>
      </c>
      <c r="I13" s="3" t="s">
        <v>185</v>
      </c>
      <c r="J13" s="3">
        <v>4</v>
      </c>
      <c r="K13" s="3" t="s">
        <v>34</v>
      </c>
      <c r="L13" s="3" t="s">
        <v>1736</v>
      </c>
      <c r="M13" s="6" t="s">
        <v>1905</v>
      </c>
      <c r="N13" s="6" t="s">
        <v>1906</v>
      </c>
      <c r="O13" s="6" t="s">
        <v>43</v>
      </c>
    </row>
    <row r="14" spans="1:15" ht="28.15" customHeight="1">
      <c r="A14" s="3" t="s">
        <v>1907</v>
      </c>
      <c r="B14" s="3" t="s">
        <v>1799</v>
      </c>
      <c r="C14" s="3" t="s">
        <v>1800</v>
      </c>
      <c r="D14" s="3" t="s">
        <v>1801</v>
      </c>
      <c r="E14" s="3" t="s">
        <v>1908</v>
      </c>
      <c r="F14" s="3">
        <v>60500</v>
      </c>
      <c r="G14" s="3" t="s">
        <v>204</v>
      </c>
      <c r="H14" s="3" t="s">
        <v>1909</v>
      </c>
      <c r="I14" s="3" t="s">
        <v>31</v>
      </c>
      <c r="J14" s="3">
        <v>2</v>
      </c>
      <c r="K14" s="3" t="s">
        <v>34</v>
      </c>
      <c r="L14" s="3" t="s">
        <v>1736</v>
      </c>
      <c r="M14" s="6" t="s">
        <v>1910</v>
      </c>
      <c r="N14" s="6" t="s">
        <v>1868</v>
      </c>
      <c r="O14" s="6" t="s">
        <v>32</v>
      </c>
    </row>
    <row r="15" spans="1:15" ht="28.15" customHeight="1">
      <c r="A15" s="3" t="s">
        <v>1911</v>
      </c>
      <c r="B15" s="3" t="s">
        <v>1819</v>
      </c>
      <c r="C15" s="3" t="s">
        <v>1800</v>
      </c>
      <c r="D15" s="3" t="s">
        <v>1820</v>
      </c>
      <c r="E15" s="3" t="s">
        <v>1912</v>
      </c>
      <c r="F15" s="3">
        <v>60500</v>
      </c>
      <c r="G15" s="3" t="s">
        <v>204</v>
      </c>
      <c r="H15" s="3" t="s">
        <v>1822</v>
      </c>
      <c r="I15" s="3" t="s">
        <v>185</v>
      </c>
      <c r="J15" s="3">
        <v>3</v>
      </c>
      <c r="K15" s="3" t="s">
        <v>34</v>
      </c>
      <c r="L15" s="3" t="s">
        <v>1736</v>
      </c>
      <c r="M15" s="6" t="s">
        <v>1910</v>
      </c>
      <c r="N15" s="6" t="s">
        <v>1906</v>
      </c>
      <c r="O15" s="6" t="s">
        <v>43</v>
      </c>
    </row>
    <row r="16" spans="1:15" ht="28.15" customHeight="1">
      <c r="A16" s="3" t="s">
        <v>1913</v>
      </c>
      <c r="B16" s="3" t="s">
        <v>1828</v>
      </c>
      <c r="C16" s="3" t="s">
        <v>1800</v>
      </c>
      <c r="D16" s="3" t="s">
        <v>1914</v>
      </c>
      <c r="E16" s="3" t="s">
        <v>1915</v>
      </c>
      <c r="F16" s="3">
        <v>95520</v>
      </c>
      <c r="G16" s="3" t="s">
        <v>1745</v>
      </c>
      <c r="H16" s="3" t="s">
        <v>1916</v>
      </c>
      <c r="I16" s="3" t="s">
        <v>185</v>
      </c>
      <c r="J16" s="3">
        <v>1</v>
      </c>
      <c r="K16" s="3" t="s">
        <v>34</v>
      </c>
      <c r="L16" s="3" t="s">
        <v>1736</v>
      </c>
      <c r="M16" s="6" t="s">
        <v>1917</v>
      </c>
      <c r="N16" s="6" t="s">
        <v>1906</v>
      </c>
      <c r="O16" s="6" t="s">
        <v>43</v>
      </c>
    </row>
    <row r="17" spans="1:15" ht="28.15" customHeight="1">
      <c r="A17" s="3" t="s">
        <v>1918</v>
      </c>
      <c r="B17" s="3" t="s">
        <v>1738</v>
      </c>
      <c r="C17" s="3" t="s">
        <v>1739</v>
      </c>
      <c r="D17" s="3" t="s">
        <v>1741</v>
      </c>
      <c r="E17" s="3" t="s">
        <v>1919</v>
      </c>
      <c r="F17" s="3">
        <v>95520</v>
      </c>
      <c r="G17" s="3" t="s">
        <v>1745</v>
      </c>
      <c r="H17" s="3" t="s">
        <v>1919</v>
      </c>
      <c r="I17" s="3" t="s">
        <v>31</v>
      </c>
      <c r="J17" s="3">
        <v>2</v>
      </c>
      <c r="K17" s="3" t="s">
        <v>34</v>
      </c>
      <c r="L17" s="3" t="s">
        <v>1736</v>
      </c>
      <c r="M17" s="6" t="s">
        <v>1920</v>
      </c>
      <c r="N17" s="6" t="s">
        <v>1868</v>
      </c>
      <c r="O17" s="6" t="s">
        <v>32</v>
      </c>
    </row>
    <row r="18" spans="1:15" ht="48.4" customHeight="1">
      <c r="A18" s="3" t="s">
        <v>1921</v>
      </c>
      <c r="B18" s="3" t="s">
        <v>1720</v>
      </c>
      <c r="C18" s="3" t="s">
        <v>1739</v>
      </c>
      <c r="D18" s="3" t="s">
        <v>1723</v>
      </c>
      <c r="E18" s="3" t="s">
        <v>1895</v>
      </c>
      <c r="F18" s="3">
        <v>95200</v>
      </c>
      <c r="G18" s="3" t="s">
        <v>110</v>
      </c>
      <c r="H18" s="3" t="s">
        <v>1922</v>
      </c>
      <c r="I18" s="3" t="s">
        <v>31</v>
      </c>
      <c r="J18" s="3">
        <v>1</v>
      </c>
      <c r="K18" s="3" t="s">
        <v>34</v>
      </c>
      <c r="L18" s="3" t="s">
        <v>1736</v>
      </c>
      <c r="M18" s="6" t="s">
        <v>1923</v>
      </c>
      <c r="N18" s="6" t="s">
        <v>1868</v>
      </c>
      <c r="O18" s="6" t="s">
        <v>32</v>
      </c>
    </row>
    <row r="19" spans="1:15" ht="53.1" customHeight="1">
      <c r="A19" s="3" t="s">
        <v>1924</v>
      </c>
      <c r="B19" s="3" t="s">
        <v>1772</v>
      </c>
      <c r="C19" s="3" t="s">
        <v>1773</v>
      </c>
      <c r="D19" s="3" t="s">
        <v>1774</v>
      </c>
      <c r="E19" s="3" t="s">
        <v>1866</v>
      </c>
      <c r="F19" s="3">
        <v>93207</v>
      </c>
      <c r="G19" s="3" t="s">
        <v>356</v>
      </c>
      <c r="H19" s="3" t="s">
        <v>1925</v>
      </c>
      <c r="I19" s="3" t="s">
        <v>31</v>
      </c>
      <c r="J19" s="3">
        <v>1</v>
      </c>
      <c r="K19" s="3" t="s">
        <v>34</v>
      </c>
      <c r="L19" s="3" t="s">
        <v>1736</v>
      </c>
      <c r="M19" s="6" t="s">
        <v>1926</v>
      </c>
      <c r="N19" s="6" t="s">
        <v>1868</v>
      </c>
      <c r="O19" s="6" t="s">
        <v>32</v>
      </c>
    </row>
    <row r="20" spans="1:15" ht="41.85" customHeight="1">
      <c r="A20" s="3" t="s">
        <v>1927</v>
      </c>
      <c r="B20" s="3" t="s">
        <v>1849</v>
      </c>
      <c r="C20" s="5" t="s">
        <v>1858</v>
      </c>
      <c r="D20" s="12" t="s">
        <v>1852</v>
      </c>
      <c r="E20" s="11" t="s">
        <v>1881</v>
      </c>
      <c r="F20" s="12">
        <v>60500</v>
      </c>
      <c r="G20" s="12" t="s">
        <v>204</v>
      </c>
      <c r="H20" s="11" t="s">
        <v>1856</v>
      </c>
      <c r="I20" s="12" t="s">
        <v>31</v>
      </c>
      <c r="J20" s="6">
        <v>1</v>
      </c>
      <c r="K20" s="12" t="s">
        <v>34</v>
      </c>
      <c r="L20" s="10" t="s">
        <v>1736</v>
      </c>
      <c r="M20" s="9" t="s">
        <v>1414</v>
      </c>
      <c r="N20" s="9" t="s">
        <v>1868</v>
      </c>
      <c r="O20" s="14" t="s">
        <v>32</v>
      </c>
    </row>
    <row r="21" spans="1:15" ht="85.5">
      <c r="A21" s="3" t="s">
        <v>1928</v>
      </c>
      <c r="B21" s="3" t="s">
        <v>1849</v>
      </c>
      <c r="C21" s="5" t="s">
        <v>1859</v>
      </c>
      <c r="D21" s="12" t="s">
        <v>1852</v>
      </c>
      <c r="E21" s="11" t="s">
        <v>1881</v>
      </c>
      <c r="F21" s="12">
        <v>60500</v>
      </c>
      <c r="G21" s="12" t="s">
        <v>204</v>
      </c>
      <c r="H21" s="11" t="s">
        <v>1856</v>
      </c>
      <c r="I21" s="12" t="s">
        <v>31</v>
      </c>
      <c r="J21" s="6">
        <v>1</v>
      </c>
      <c r="K21" s="12" t="s">
        <v>34</v>
      </c>
      <c r="L21" s="10" t="s">
        <v>1736</v>
      </c>
      <c r="M21" s="9" t="s">
        <v>1414</v>
      </c>
      <c r="N21" s="9" t="s">
        <v>1868</v>
      </c>
      <c r="O21" s="14" t="s">
        <v>32</v>
      </c>
    </row>
    <row r="22" spans="1:15" ht="85.5">
      <c r="A22" s="3" t="s">
        <v>1929</v>
      </c>
      <c r="B22" s="3" t="s">
        <v>1849</v>
      </c>
      <c r="C22" s="5" t="s">
        <v>1860</v>
      </c>
      <c r="D22" s="12" t="s">
        <v>1852</v>
      </c>
      <c r="E22" s="11" t="s">
        <v>1881</v>
      </c>
      <c r="F22" s="12">
        <v>60500</v>
      </c>
      <c r="G22" s="12" t="s">
        <v>204</v>
      </c>
      <c r="H22" s="11" t="s">
        <v>1856</v>
      </c>
      <c r="I22" s="12" t="s">
        <v>31</v>
      </c>
      <c r="J22" s="6">
        <v>1</v>
      </c>
      <c r="K22" s="12" t="s">
        <v>34</v>
      </c>
      <c r="L22" s="10" t="s">
        <v>1736</v>
      </c>
      <c r="M22" s="9" t="s">
        <v>1414</v>
      </c>
      <c r="N22" s="9" t="s">
        <v>1868</v>
      </c>
      <c r="O22" s="14" t="s">
        <v>32</v>
      </c>
    </row>
    <row r="23" spans="1:15" ht="57">
      <c r="A23" s="13" t="s">
        <v>1930</v>
      </c>
      <c r="B23" s="10" t="s">
        <v>1834</v>
      </c>
      <c r="C23" s="10" t="s">
        <v>1835</v>
      </c>
      <c r="D23" s="10" t="s">
        <v>1836</v>
      </c>
      <c r="E23" s="10" t="s">
        <v>1931</v>
      </c>
      <c r="F23" s="10">
        <v>75013</v>
      </c>
      <c r="G23" s="10" t="s">
        <v>878</v>
      </c>
      <c r="H23" s="10" t="s">
        <v>1932</v>
      </c>
      <c r="I23" s="10" t="s">
        <v>185</v>
      </c>
      <c r="J23" s="10">
        <v>1</v>
      </c>
      <c r="K23" s="10" t="s">
        <v>34</v>
      </c>
      <c r="L23" s="10" t="s">
        <v>1736</v>
      </c>
      <c r="M23" s="10" t="s">
        <v>1933</v>
      </c>
      <c r="N23" s="14" t="s">
        <v>1906</v>
      </c>
      <c r="O23" s="9" t="s">
        <v>43</v>
      </c>
    </row>
    <row r="24" spans="1:15" ht="42.75">
      <c r="A24" s="6" t="s">
        <v>2051</v>
      </c>
      <c r="B24" s="6" t="s">
        <v>2047</v>
      </c>
      <c r="C24" s="6" t="s">
        <v>2043</v>
      </c>
      <c r="D24" s="6" t="s">
        <v>2048</v>
      </c>
      <c r="E24" s="7" t="s">
        <v>2052</v>
      </c>
      <c r="F24" s="6">
        <v>95330</v>
      </c>
      <c r="G24" s="6" t="s">
        <v>574</v>
      </c>
      <c r="H24" s="7" t="s">
        <v>2049</v>
      </c>
      <c r="I24" s="6" t="s">
        <v>42</v>
      </c>
      <c r="J24" s="6">
        <v>1</v>
      </c>
      <c r="K24" s="6" t="s">
        <v>34</v>
      </c>
      <c r="L24" s="6" t="s">
        <v>1736</v>
      </c>
      <c r="M24" s="6" t="s">
        <v>2053</v>
      </c>
      <c r="N24" s="6" t="s">
        <v>1906</v>
      </c>
      <c r="O24" s="6" t="s">
        <v>43</v>
      </c>
    </row>
    <row r="25" spans="1:15" ht="42.75">
      <c r="A25" s="6" t="s">
        <v>2062</v>
      </c>
      <c r="B25" s="6" t="s">
        <v>2058</v>
      </c>
      <c r="C25" s="6" t="s">
        <v>2043</v>
      </c>
      <c r="D25" s="6" t="s">
        <v>2059</v>
      </c>
      <c r="E25" s="7" t="s">
        <v>2063</v>
      </c>
      <c r="F25" s="6" t="s">
        <v>2056</v>
      </c>
      <c r="G25" s="6" t="s">
        <v>2057</v>
      </c>
      <c r="H25" s="7" t="s">
        <v>2060</v>
      </c>
      <c r="I25" s="6" t="s">
        <v>2061</v>
      </c>
      <c r="J25" s="6">
        <v>100</v>
      </c>
      <c r="K25" s="6" t="s">
        <v>34</v>
      </c>
      <c r="L25" s="6" t="s">
        <v>1736</v>
      </c>
      <c r="M25" s="6" t="s">
        <v>2064</v>
      </c>
      <c r="N25" s="6" t="s">
        <v>1868</v>
      </c>
      <c r="O25" s="6" t="s">
        <v>32</v>
      </c>
    </row>
    <row r="26" spans="1:15" ht="71.25">
      <c r="A26" s="6" t="s">
        <v>2074</v>
      </c>
      <c r="B26" s="6" t="s">
        <v>2070</v>
      </c>
      <c r="C26" s="6" t="s">
        <v>2067</v>
      </c>
      <c r="D26" s="6" t="s">
        <v>2071</v>
      </c>
      <c r="E26" s="7" t="s">
        <v>2075</v>
      </c>
      <c r="F26" s="6">
        <v>95520</v>
      </c>
      <c r="G26" s="6" t="s">
        <v>1745</v>
      </c>
      <c r="H26" s="7" t="s">
        <v>2073</v>
      </c>
      <c r="I26" s="6" t="s">
        <v>42</v>
      </c>
      <c r="J26" s="6">
        <v>1</v>
      </c>
      <c r="K26" s="6" t="s">
        <v>34</v>
      </c>
      <c r="L26" s="6" t="s">
        <v>1736</v>
      </c>
      <c r="M26" s="6" t="s">
        <v>2076</v>
      </c>
      <c r="N26" s="6" t="s">
        <v>1906</v>
      </c>
      <c r="O26" s="6" t="s">
        <v>43</v>
      </c>
    </row>
  </sheetData>
  <dataValidations count="2">
    <dataValidation type="list" sqref="M23 C20:C23 C2:C18">
      <formula1>"ECHODOPPLER_ARTERIEL,ECHODOPPLER_VEINEUX,ECHODOPPLER_VAISSEAUX_DU_COU,ECHODOPPLER_MEMBRES_INFERIEURS,TEST_EFFORT,SCINTIGRAPHIE_MYOCARDIQUE,COROSCANNER,SCORE_CALCIQUE,IRM,AVIS_NEUROLOGIE,AVIS_RYTHMOLOGIE,AVIS_VASCULAIRE,A_COMPLETER"</formula1>
    </dataValidation>
    <dataValidation type="list" sqref="K2:L23">
      <formula1>"Oui,Non"</formula1>
    </dataValidation>
  </dataValidation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6"/>
  <sheetViews>
    <sheetView workbookViewId="0">
      <selection activeCell="B29" sqref="B29"/>
    </sheetView>
  </sheetViews>
  <sheetFormatPr baseColWidth="10" defaultColWidth="8.75" defaultRowHeight="15" customHeight="1"/>
  <cols>
    <col min="1" max="1" width="27" style="32" customWidth="1"/>
    <col min="2" max="2" width="38" style="32" customWidth="1"/>
    <col min="3" max="16384" width="8.75" style="32"/>
  </cols>
  <sheetData>
    <row r="1" spans="1:2" ht="15" customHeight="1">
      <c r="A1" s="31" t="s">
        <v>1934</v>
      </c>
      <c r="B1" s="31" t="s">
        <v>1935</v>
      </c>
    </row>
    <row r="2" spans="1:2" ht="15" customHeight="1">
      <c r="A2" s="33" t="s">
        <v>1716</v>
      </c>
      <c r="B2" s="33" t="s">
        <v>1860</v>
      </c>
    </row>
    <row r="3" spans="1:2" ht="15" customHeight="1">
      <c r="A3" s="33" t="s">
        <v>1716</v>
      </c>
      <c r="B3" s="33" t="s">
        <v>1859</v>
      </c>
    </row>
    <row r="4" spans="1:2" ht="15" customHeight="1">
      <c r="A4" s="33" t="s">
        <v>1716</v>
      </c>
      <c r="B4" s="33" t="s">
        <v>1850</v>
      </c>
    </row>
    <row r="5" spans="1:2" ht="15" customHeight="1">
      <c r="A5" s="33" t="s">
        <v>1716</v>
      </c>
      <c r="B5" s="33" t="s">
        <v>1858</v>
      </c>
    </row>
    <row r="6" spans="1:2" ht="15" customHeight="1">
      <c r="A6" s="33" t="s">
        <v>1716</v>
      </c>
      <c r="B6" s="33" t="s">
        <v>1739</v>
      </c>
    </row>
    <row r="7" spans="1:2" ht="15" customHeight="1">
      <c r="A7" s="33" t="s">
        <v>1716</v>
      </c>
      <c r="B7" s="33" t="s">
        <v>1721</v>
      </c>
    </row>
    <row r="8" spans="1:2" ht="15" customHeight="1">
      <c r="A8" s="33" t="s">
        <v>1716</v>
      </c>
      <c r="B8" s="33" t="s">
        <v>1815</v>
      </c>
    </row>
    <row r="9" spans="1:2" ht="15" customHeight="1">
      <c r="A9" s="33" t="s">
        <v>1716</v>
      </c>
      <c r="B9" s="33" t="s">
        <v>1729</v>
      </c>
    </row>
    <row r="10" spans="1:2" ht="15" customHeight="1">
      <c r="A10" s="33" t="s">
        <v>1716</v>
      </c>
      <c r="B10" s="33" t="s">
        <v>1800</v>
      </c>
    </row>
    <row r="11" spans="1:2" ht="15" customHeight="1">
      <c r="A11" s="33" t="s">
        <v>1716</v>
      </c>
      <c r="B11" s="33" t="s">
        <v>1806</v>
      </c>
    </row>
    <row r="12" spans="1:2" ht="15" customHeight="1">
      <c r="A12" s="33" t="s">
        <v>1716</v>
      </c>
      <c r="B12" s="33" t="s">
        <v>1936</v>
      </c>
    </row>
    <row r="13" spans="1:2" ht="15" customHeight="1">
      <c r="A13" s="33" t="s">
        <v>1716</v>
      </c>
      <c r="B13" s="33" t="s">
        <v>1757</v>
      </c>
    </row>
    <row r="14" spans="1:2" ht="15" customHeight="1">
      <c r="A14" s="33" t="s">
        <v>1716</v>
      </c>
      <c r="B14" s="33" t="s">
        <v>1779</v>
      </c>
    </row>
    <row r="15" spans="1:2" ht="15" customHeight="1">
      <c r="A15" s="33" t="s">
        <v>1716</v>
      </c>
      <c r="B15" s="33" t="s">
        <v>1791</v>
      </c>
    </row>
    <row r="16" spans="1:2" ht="15" customHeight="1">
      <c r="A16" s="33" t="s">
        <v>1716</v>
      </c>
      <c r="B16" s="34" t="s">
        <v>1765</v>
      </c>
    </row>
    <row r="17" spans="1:2" ht="15" customHeight="1">
      <c r="A17" s="33" t="s">
        <v>1716</v>
      </c>
      <c r="B17" s="34" t="s">
        <v>1773</v>
      </c>
    </row>
    <row r="18" spans="1:2" ht="15" customHeight="1">
      <c r="A18" s="33" t="s">
        <v>1716</v>
      </c>
      <c r="B18" s="34" t="s">
        <v>1835</v>
      </c>
    </row>
    <row r="19" spans="1:2" ht="15" customHeight="1">
      <c r="A19" s="33" t="s">
        <v>1716</v>
      </c>
      <c r="B19" s="34" t="s">
        <v>2043</v>
      </c>
    </row>
    <row r="20" spans="1:2" ht="15" customHeight="1">
      <c r="A20" s="33" t="s">
        <v>1716</v>
      </c>
      <c r="B20" s="34" t="s">
        <v>2068</v>
      </c>
    </row>
    <row r="21" spans="1:2" ht="15" customHeight="1">
      <c r="A21" s="33" t="s">
        <v>1716</v>
      </c>
      <c r="B21" s="34" t="s">
        <v>2067</v>
      </c>
    </row>
    <row r="22" spans="1:2" ht="15" customHeight="1">
      <c r="A22" s="33" t="s">
        <v>1716</v>
      </c>
      <c r="B22" s="34" t="s">
        <v>1842</v>
      </c>
    </row>
    <row r="23" spans="1:2" ht="15" customHeight="1">
      <c r="A23" s="33" t="s">
        <v>1937</v>
      </c>
      <c r="B23" s="34" t="s">
        <v>34</v>
      </c>
    </row>
    <row r="24" spans="1:2" ht="15" customHeight="1">
      <c r="A24" s="33" t="s">
        <v>1937</v>
      </c>
      <c r="B24" s="34" t="s">
        <v>1736</v>
      </c>
    </row>
    <row r="25" spans="1:2" ht="15" customHeight="1">
      <c r="A25" s="34" t="s">
        <v>14</v>
      </c>
      <c r="B25" s="34" t="s">
        <v>32</v>
      </c>
    </row>
    <row r="26" spans="1:2" ht="15" customHeight="1">
      <c r="A26" s="34" t="s">
        <v>14</v>
      </c>
      <c r="B26" s="34" t="s">
        <v>43</v>
      </c>
    </row>
  </sheetData>
  <pageMargins left="0.7" right="0.7" top="0.75" bottom="0.75" header="0.3" footer="0.3"/>
  <pageSetup paperSize="9" orientation="portrait" horizontalDpi="0" verticalDpi="0" copies="2"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1"/>
  <sheetViews>
    <sheetView workbookViewId="0"/>
  </sheetViews>
  <sheetFormatPr baseColWidth="10" defaultColWidth="8.75" defaultRowHeight="14.25"/>
  <cols>
    <col min="1" max="1" width="95" customWidth="1"/>
  </cols>
  <sheetData>
    <row r="1" spans="1:1" ht="18">
      <c r="A1" s="4" t="s">
        <v>1938</v>
      </c>
    </row>
    <row r="2" spans="1:1">
      <c r="A2" s="1"/>
    </row>
    <row r="3" spans="1:1">
      <c r="A3" s="1" t="s">
        <v>1939</v>
      </c>
    </row>
    <row r="4" spans="1:1">
      <c r="A4" s="1" t="s">
        <v>1940</v>
      </c>
    </row>
    <row r="5" spans="1:1">
      <c r="A5" s="1"/>
    </row>
    <row r="6" spans="1:1">
      <c r="A6" s="1" t="s">
        <v>1941</v>
      </c>
    </row>
    <row r="7" spans="1:1">
      <c r="A7" s="1" t="s">
        <v>1942</v>
      </c>
    </row>
    <row r="8" spans="1:1" ht="28.5">
      <c r="A8" s="1" t="s">
        <v>1943</v>
      </c>
    </row>
    <row r="9" spans="1:1">
      <c r="A9" s="1" t="s">
        <v>1944</v>
      </c>
    </row>
    <row r="10" spans="1:1">
      <c r="A10" s="1"/>
    </row>
    <row r="11" spans="1:1" ht="28.5">
      <c r="A11" s="1" t="s">
        <v>1945</v>
      </c>
    </row>
    <row r="12" spans="1:1">
      <c r="A12" s="1" t="s">
        <v>1946</v>
      </c>
    </row>
    <row r="14" spans="1:1">
      <c r="A14" s="1" t="s">
        <v>1969</v>
      </c>
    </row>
    <row r="15" spans="1:1" ht="28.5">
      <c r="A15" s="1" t="s">
        <v>1970</v>
      </c>
    </row>
    <row r="16" spans="1:1" ht="28.5">
      <c r="A16" s="1" t="s">
        <v>1971</v>
      </c>
    </row>
    <row r="17" spans="1:1" ht="28.5">
      <c r="A17" s="1" t="s">
        <v>1972</v>
      </c>
    </row>
    <row r="18" spans="1:1" ht="28.5">
      <c r="A18" s="1" t="s">
        <v>1973</v>
      </c>
    </row>
    <row r="19" spans="1:1" ht="28.5">
      <c r="A19" s="1" t="s">
        <v>1974</v>
      </c>
    </row>
    <row r="20" spans="1:1">
      <c r="A20" s="1" t="s">
        <v>1975</v>
      </c>
    </row>
    <row r="21" spans="1:1">
      <c r="A21" s="1" t="s">
        <v>1976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99"/>
  <sheetViews>
    <sheetView tabSelected="1" workbookViewId="0"/>
  </sheetViews>
  <sheetFormatPr baseColWidth="10" defaultColWidth="8.75" defaultRowHeight="14.25"/>
  <cols>
    <col min="1" max="1" width="14" customWidth="1"/>
    <col min="2" max="2" width="34" customWidth="1"/>
    <col min="3" max="3" width="32" customWidth="1"/>
    <col min="4" max="4" width="28" customWidth="1"/>
    <col min="5" max="5" width="11" customWidth="1"/>
    <col min="6" max="6" width="24" customWidth="1"/>
    <col min="7" max="7" width="18" customWidth="1"/>
    <col min="8" max="8" width="9" customWidth="1"/>
    <col min="9" max="9" width="10" customWidth="1"/>
    <col min="10" max="10" width="34" customWidth="1"/>
    <col min="11" max="11" width="26" customWidth="1"/>
    <col min="12" max="12" width="60" customWidth="1"/>
  </cols>
  <sheetData>
    <row r="1" spans="1:12" ht="30">
      <c r="A1" s="18" t="s">
        <v>1947</v>
      </c>
      <c r="B1" s="18" t="s">
        <v>1977</v>
      </c>
      <c r="C1" s="18" t="s">
        <v>7</v>
      </c>
      <c r="D1" s="18" t="s">
        <v>8</v>
      </c>
      <c r="E1" s="18" t="s">
        <v>9</v>
      </c>
      <c r="F1" s="18" t="s">
        <v>10</v>
      </c>
      <c r="G1" s="18" t="s">
        <v>11</v>
      </c>
      <c r="H1" s="18" t="s">
        <v>17</v>
      </c>
      <c r="I1" s="18" t="s">
        <v>18</v>
      </c>
      <c r="J1" s="18" t="s">
        <v>1978</v>
      </c>
      <c r="K1" s="18" t="s">
        <v>1979</v>
      </c>
      <c r="L1" s="18" t="s">
        <v>1980</v>
      </c>
    </row>
    <row r="2" spans="1:12">
      <c r="A2" s="19" t="s">
        <v>1960</v>
      </c>
      <c r="B2" s="19" t="s">
        <v>1741</v>
      </c>
      <c r="C2" s="19" t="s">
        <v>1742</v>
      </c>
      <c r="D2" s="19" t="s">
        <v>1743</v>
      </c>
      <c r="E2" s="20" t="s">
        <v>1744</v>
      </c>
      <c r="F2" s="19" t="s">
        <v>1745</v>
      </c>
      <c r="G2" s="20" t="s">
        <v>1746</v>
      </c>
      <c r="H2" s="19" t="s">
        <v>34</v>
      </c>
      <c r="I2" s="19" t="s">
        <v>34</v>
      </c>
      <c r="J2" s="19" t="s">
        <v>1981</v>
      </c>
      <c r="K2" s="19" t="s">
        <v>1738</v>
      </c>
      <c r="L2" s="19" t="s">
        <v>1982</v>
      </c>
    </row>
    <row r="3" spans="1:12">
      <c r="A3" s="3" t="s">
        <v>1967</v>
      </c>
      <c r="B3" s="3" t="s">
        <v>1843</v>
      </c>
      <c r="C3" s="3" t="s">
        <v>1844</v>
      </c>
      <c r="D3" s="3"/>
      <c r="E3" s="21" t="s">
        <v>1845</v>
      </c>
      <c r="F3" s="3" t="s">
        <v>1846</v>
      </c>
      <c r="G3" s="21"/>
      <c r="H3" s="3" t="s">
        <v>34</v>
      </c>
      <c r="I3" s="3" t="s">
        <v>1736</v>
      </c>
      <c r="J3" s="3" t="s">
        <v>1983</v>
      </c>
      <c r="K3" s="3" t="s">
        <v>1841</v>
      </c>
      <c r="L3" s="3"/>
    </row>
    <row r="4" spans="1:12" ht="42.75">
      <c r="A4" s="19" t="s">
        <v>1950</v>
      </c>
      <c r="B4" s="19" t="s">
        <v>488</v>
      </c>
      <c r="C4" s="19" t="s">
        <v>354</v>
      </c>
      <c r="D4" s="19"/>
      <c r="E4" s="20" t="s">
        <v>355</v>
      </c>
      <c r="F4" s="19" t="s">
        <v>356</v>
      </c>
      <c r="G4" s="20"/>
      <c r="H4" s="19" t="s">
        <v>34</v>
      </c>
      <c r="I4" s="19" t="s">
        <v>1736</v>
      </c>
      <c r="J4" s="19" t="s">
        <v>1984</v>
      </c>
      <c r="K4" s="19" t="s">
        <v>1985</v>
      </c>
      <c r="L4" s="19"/>
    </row>
    <row r="5" spans="1:12">
      <c r="A5" s="3" t="s">
        <v>1968</v>
      </c>
      <c r="B5" s="3" t="s">
        <v>1853</v>
      </c>
      <c r="C5" s="3" t="s">
        <v>1854</v>
      </c>
      <c r="D5" s="3" t="s">
        <v>1855</v>
      </c>
      <c r="E5" s="21" t="s">
        <v>203</v>
      </c>
      <c r="F5" s="3" t="s">
        <v>204</v>
      </c>
      <c r="G5" s="21"/>
      <c r="H5" s="3" t="s">
        <v>34</v>
      </c>
      <c r="I5" s="3" t="s">
        <v>1736</v>
      </c>
      <c r="J5" s="3" t="s">
        <v>1986</v>
      </c>
      <c r="K5" s="3" t="s">
        <v>1849</v>
      </c>
      <c r="L5" s="3"/>
    </row>
    <row r="6" spans="1:12">
      <c r="A6" s="19" t="s">
        <v>1957</v>
      </c>
      <c r="B6" s="19" t="s">
        <v>1113</v>
      </c>
      <c r="C6" s="19" t="s">
        <v>1114</v>
      </c>
      <c r="D6" s="19"/>
      <c r="E6" s="20" t="s">
        <v>757</v>
      </c>
      <c r="F6" s="19" t="s">
        <v>758</v>
      </c>
      <c r="G6" s="20"/>
      <c r="H6" s="19" t="s">
        <v>34</v>
      </c>
      <c r="I6" s="19" t="s">
        <v>1736</v>
      </c>
      <c r="J6" s="19" t="s">
        <v>1987</v>
      </c>
      <c r="K6" s="19" t="s">
        <v>1110</v>
      </c>
      <c r="L6" s="19"/>
    </row>
    <row r="7" spans="1:12">
      <c r="A7" s="3" t="s">
        <v>1962</v>
      </c>
      <c r="B7" s="3" t="s">
        <v>1782</v>
      </c>
      <c r="C7" s="3" t="s">
        <v>313</v>
      </c>
      <c r="D7" s="3"/>
      <c r="E7" s="21" t="s">
        <v>39</v>
      </c>
      <c r="F7" s="3" t="s">
        <v>40</v>
      </c>
      <c r="G7" s="21"/>
      <c r="H7" s="3" t="s">
        <v>34</v>
      </c>
      <c r="I7" s="3" t="s">
        <v>1736</v>
      </c>
      <c r="J7" s="3" t="s">
        <v>1988</v>
      </c>
      <c r="K7" s="3" t="s">
        <v>1989</v>
      </c>
      <c r="L7" s="3"/>
    </row>
    <row r="8" spans="1:12">
      <c r="A8" s="19" t="s">
        <v>1956</v>
      </c>
      <c r="B8" s="19" t="s">
        <v>1054</v>
      </c>
      <c r="C8" s="19" t="s">
        <v>1055</v>
      </c>
      <c r="D8" s="19"/>
      <c r="E8" s="20" t="s">
        <v>573</v>
      </c>
      <c r="F8" s="19" t="s">
        <v>574</v>
      </c>
      <c r="G8" s="20"/>
      <c r="H8" s="19" t="s">
        <v>34</v>
      </c>
      <c r="I8" s="19" t="s">
        <v>1736</v>
      </c>
      <c r="J8" s="19" t="s">
        <v>1990</v>
      </c>
      <c r="K8" s="19" t="s">
        <v>1050</v>
      </c>
      <c r="L8" s="19"/>
    </row>
    <row r="9" spans="1:12">
      <c r="A9" s="3" t="s">
        <v>1965</v>
      </c>
      <c r="B9" s="3" t="s">
        <v>1821</v>
      </c>
      <c r="C9" s="3"/>
      <c r="D9" s="3"/>
      <c r="E9" s="21" t="s">
        <v>203</v>
      </c>
      <c r="F9" s="3" t="s">
        <v>204</v>
      </c>
      <c r="G9" s="21"/>
      <c r="H9" s="3" t="s">
        <v>34</v>
      </c>
      <c r="I9" s="3" t="s">
        <v>1736</v>
      </c>
      <c r="J9" s="3" t="s">
        <v>1991</v>
      </c>
      <c r="K9" s="3" t="s">
        <v>1819</v>
      </c>
      <c r="L9" s="3"/>
    </row>
    <row r="10" spans="1:12">
      <c r="A10" s="19" t="s">
        <v>1953</v>
      </c>
      <c r="B10" s="19" t="s">
        <v>683</v>
      </c>
      <c r="C10" s="19" t="s">
        <v>684</v>
      </c>
      <c r="D10" s="19"/>
      <c r="E10" s="20" t="s">
        <v>1761</v>
      </c>
      <c r="F10" s="19" t="s">
        <v>685</v>
      </c>
      <c r="G10" s="20"/>
      <c r="H10" s="19" t="s">
        <v>34</v>
      </c>
      <c r="I10" s="19" t="s">
        <v>1736</v>
      </c>
      <c r="J10" s="19" t="s">
        <v>1992</v>
      </c>
      <c r="K10" s="19" t="s">
        <v>1993</v>
      </c>
      <c r="L10" s="19"/>
    </row>
    <row r="11" spans="1:12" ht="42.75">
      <c r="A11" s="3" t="s">
        <v>1961</v>
      </c>
      <c r="B11" s="3" t="s">
        <v>1830</v>
      </c>
      <c r="C11" s="3" t="s">
        <v>1831</v>
      </c>
      <c r="D11" s="3"/>
      <c r="E11" s="21" t="s">
        <v>1744</v>
      </c>
      <c r="F11" s="3" t="s">
        <v>1745</v>
      </c>
      <c r="G11" s="21" t="s">
        <v>1754</v>
      </c>
      <c r="H11" s="3" t="s">
        <v>34</v>
      </c>
      <c r="I11" s="3" t="s">
        <v>34</v>
      </c>
      <c r="J11" s="3" t="s">
        <v>1994</v>
      </c>
      <c r="K11" s="3" t="s">
        <v>1995</v>
      </c>
      <c r="L11" s="3" t="s">
        <v>1996</v>
      </c>
    </row>
    <row r="12" spans="1:12">
      <c r="A12" s="19" t="s">
        <v>1952</v>
      </c>
      <c r="B12" s="19" t="s">
        <v>640</v>
      </c>
      <c r="C12" s="19" t="s">
        <v>641</v>
      </c>
      <c r="D12" s="19"/>
      <c r="E12" s="20" t="s">
        <v>1023</v>
      </c>
      <c r="F12" s="19" t="s">
        <v>642</v>
      </c>
      <c r="G12" s="20"/>
      <c r="H12" s="19" t="s">
        <v>34</v>
      </c>
      <c r="I12" s="19" t="s">
        <v>1736</v>
      </c>
      <c r="J12" s="19" t="s">
        <v>1997</v>
      </c>
      <c r="K12" s="19" t="s">
        <v>637</v>
      </c>
      <c r="L12" s="19"/>
    </row>
    <row r="13" spans="1:12" ht="28.5">
      <c r="A13" s="3" t="s">
        <v>1948</v>
      </c>
      <c r="B13" s="3" t="s">
        <v>182</v>
      </c>
      <c r="C13" s="3" t="s">
        <v>183</v>
      </c>
      <c r="D13" s="3"/>
      <c r="E13" s="21" t="s">
        <v>147</v>
      </c>
      <c r="F13" s="3" t="s">
        <v>99</v>
      </c>
      <c r="G13" s="21"/>
      <c r="H13" s="3" t="s">
        <v>34</v>
      </c>
      <c r="I13" s="3" t="s">
        <v>1736</v>
      </c>
      <c r="J13" s="3" t="s">
        <v>1998</v>
      </c>
      <c r="K13" s="3" t="s">
        <v>178</v>
      </c>
      <c r="L13" s="3"/>
    </row>
    <row r="14" spans="1:12">
      <c r="A14" s="19" t="s">
        <v>1949</v>
      </c>
      <c r="B14" s="19" t="s">
        <v>420</v>
      </c>
      <c r="C14" s="19" t="s">
        <v>421</v>
      </c>
      <c r="D14" s="19"/>
      <c r="E14" s="20" t="s">
        <v>422</v>
      </c>
      <c r="F14" s="19" t="s">
        <v>423</v>
      </c>
      <c r="G14" s="20" t="s">
        <v>424</v>
      </c>
      <c r="H14" s="19" t="s">
        <v>34</v>
      </c>
      <c r="I14" s="19" t="s">
        <v>1736</v>
      </c>
      <c r="J14" s="19" t="s">
        <v>1999</v>
      </c>
      <c r="K14" s="19" t="s">
        <v>416</v>
      </c>
      <c r="L14" s="19"/>
    </row>
    <row r="15" spans="1:12">
      <c r="A15" s="3" t="s">
        <v>1955</v>
      </c>
      <c r="B15" s="3" t="s">
        <v>1837</v>
      </c>
      <c r="C15" s="3" t="s">
        <v>974</v>
      </c>
      <c r="D15" s="3"/>
      <c r="E15" s="21" t="s">
        <v>1838</v>
      </c>
      <c r="F15" s="3" t="s">
        <v>878</v>
      </c>
      <c r="G15" s="21"/>
      <c r="H15" s="3" t="s">
        <v>34</v>
      </c>
      <c r="I15" s="3" t="s">
        <v>1736</v>
      </c>
      <c r="J15" s="3" t="s">
        <v>2000</v>
      </c>
      <c r="K15" s="3" t="s">
        <v>2001</v>
      </c>
      <c r="L15" s="3"/>
    </row>
    <row r="16" spans="1:12" ht="42.75">
      <c r="A16" s="19" t="s">
        <v>1959</v>
      </c>
      <c r="B16" s="19" t="s">
        <v>1796</v>
      </c>
      <c r="C16" s="19" t="s">
        <v>1797</v>
      </c>
      <c r="D16" s="19"/>
      <c r="E16" s="20" t="s">
        <v>109</v>
      </c>
      <c r="F16" s="19" t="s">
        <v>110</v>
      </c>
      <c r="G16" s="20" t="s">
        <v>1726</v>
      </c>
      <c r="H16" s="19" t="s">
        <v>34</v>
      </c>
      <c r="I16" s="19" t="s">
        <v>34</v>
      </c>
      <c r="J16" s="19" t="s">
        <v>2002</v>
      </c>
      <c r="K16" s="19" t="s">
        <v>2003</v>
      </c>
      <c r="L16" s="19" t="s">
        <v>2004</v>
      </c>
    </row>
    <row r="17" spans="1:12" ht="28.5">
      <c r="A17" s="3" t="s">
        <v>1963</v>
      </c>
      <c r="B17" s="3" t="s">
        <v>1801</v>
      </c>
      <c r="C17" s="3" t="s">
        <v>1802</v>
      </c>
      <c r="D17" s="3" t="s">
        <v>1803</v>
      </c>
      <c r="E17" s="21" t="s">
        <v>203</v>
      </c>
      <c r="F17" s="3" t="s">
        <v>204</v>
      </c>
      <c r="G17" s="21"/>
      <c r="H17" s="3" t="s">
        <v>34</v>
      </c>
      <c r="I17" s="3" t="s">
        <v>34</v>
      </c>
      <c r="J17" s="3" t="s">
        <v>2005</v>
      </c>
      <c r="K17" s="3" t="s">
        <v>1799</v>
      </c>
      <c r="L17" s="3" t="s">
        <v>1982</v>
      </c>
    </row>
    <row r="18" spans="1:12" ht="28.5">
      <c r="A18" s="19" t="s">
        <v>1954</v>
      </c>
      <c r="B18" s="19" t="s">
        <v>835</v>
      </c>
      <c r="C18" s="19" t="s">
        <v>836</v>
      </c>
      <c r="D18" s="19"/>
      <c r="E18" s="20" t="s">
        <v>240</v>
      </c>
      <c r="F18" s="19" t="s">
        <v>330</v>
      </c>
      <c r="G18" s="20"/>
      <c r="H18" s="19" t="s">
        <v>34</v>
      </c>
      <c r="I18" s="19" t="s">
        <v>1736</v>
      </c>
      <c r="J18" s="19" t="s">
        <v>2006</v>
      </c>
      <c r="K18" s="19" t="s">
        <v>832</v>
      </c>
      <c r="L18" s="19"/>
    </row>
    <row r="19" spans="1:12">
      <c r="A19" s="3" t="s">
        <v>1958</v>
      </c>
      <c r="B19" s="3" t="s">
        <v>1597</v>
      </c>
      <c r="C19" s="3" t="s">
        <v>1598</v>
      </c>
      <c r="D19" s="3"/>
      <c r="E19" s="21" t="s">
        <v>174</v>
      </c>
      <c r="F19" s="3" t="s">
        <v>557</v>
      </c>
      <c r="G19" s="21"/>
      <c r="H19" s="3" t="s">
        <v>34</v>
      </c>
      <c r="I19" s="3" t="s">
        <v>1736</v>
      </c>
      <c r="J19" s="3" t="s">
        <v>2007</v>
      </c>
      <c r="K19" s="3" t="s">
        <v>1594</v>
      </c>
      <c r="L19" s="3"/>
    </row>
    <row r="20" spans="1:12" ht="71.25">
      <c r="A20" s="19" t="s">
        <v>1964</v>
      </c>
      <c r="B20" s="19" t="s">
        <v>1810</v>
      </c>
      <c r="C20" s="19" t="s">
        <v>1811</v>
      </c>
      <c r="D20" s="19" t="s">
        <v>1812</v>
      </c>
      <c r="E20" s="20" t="s">
        <v>109</v>
      </c>
      <c r="F20" s="19" t="s">
        <v>110</v>
      </c>
      <c r="G20" s="20" t="s">
        <v>1726</v>
      </c>
      <c r="H20" s="19" t="s">
        <v>34</v>
      </c>
      <c r="I20" s="19" t="s">
        <v>34</v>
      </c>
      <c r="J20" s="19" t="s">
        <v>2008</v>
      </c>
      <c r="K20" s="19" t="s">
        <v>2009</v>
      </c>
      <c r="L20" s="19" t="s">
        <v>2010</v>
      </c>
    </row>
    <row r="21" spans="1:12" ht="28.5">
      <c r="A21" s="3" t="s">
        <v>1966</v>
      </c>
      <c r="B21" s="3" t="s">
        <v>1825</v>
      </c>
      <c r="C21" s="3" t="s">
        <v>1826</v>
      </c>
      <c r="D21" s="3"/>
      <c r="E21" s="21" t="s">
        <v>289</v>
      </c>
      <c r="F21" s="3" t="s">
        <v>290</v>
      </c>
      <c r="G21" s="21"/>
      <c r="H21" s="3" t="s">
        <v>34</v>
      </c>
      <c r="I21" s="3" t="s">
        <v>34</v>
      </c>
      <c r="J21" s="3" t="s">
        <v>2011</v>
      </c>
      <c r="K21" s="3" t="s">
        <v>1824</v>
      </c>
      <c r="L21" s="3" t="s">
        <v>2012</v>
      </c>
    </row>
    <row r="22" spans="1:12" ht="28.5">
      <c r="A22" s="19" t="s">
        <v>1951</v>
      </c>
      <c r="B22" s="19" t="s">
        <v>588</v>
      </c>
      <c r="C22" s="19" t="s">
        <v>589</v>
      </c>
      <c r="D22" s="19"/>
      <c r="E22" s="20" t="s">
        <v>422</v>
      </c>
      <c r="F22" s="19" t="s">
        <v>423</v>
      </c>
      <c r="G22" s="20"/>
      <c r="H22" s="19" t="s">
        <v>34</v>
      </c>
      <c r="I22" s="19" t="s">
        <v>1736</v>
      </c>
      <c r="J22" s="19" t="s">
        <v>2013</v>
      </c>
      <c r="K22" s="19" t="s">
        <v>584</v>
      </c>
      <c r="L22" s="19"/>
    </row>
    <row r="23" spans="1:12">
      <c r="E23" s="22"/>
      <c r="G23" s="22"/>
    </row>
    <row r="24" spans="1:12">
      <c r="E24" s="22"/>
      <c r="G24" s="22"/>
    </row>
    <row r="25" spans="1:12">
      <c r="E25" s="22"/>
      <c r="G25" s="22"/>
    </row>
    <row r="26" spans="1:12">
      <c r="E26" s="22"/>
      <c r="G26" s="22"/>
    </row>
    <row r="27" spans="1:12">
      <c r="E27" s="22"/>
      <c r="G27" s="22"/>
    </row>
    <row r="28" spans="1:12">
      <c r="E28" s="22"/>
      <c r="G28" s="22"/>
    </row>
    <row r="29" spans="1:12">
      <c r="E29" s="22"/>
      <c r="G29" s="22"/>
    </row>
    <row r="30" spans="1:12">
      <c r="E30" s="22"/>
      <c r="G30" s="22"/>
    </row>
    <row r="31" spans="1:12">
      <c r="E31" s="22"/>
      <c r="G31" s="22"/>
    </row>
    <row r="32" spans="1:12">
      <c r="E32" s="22"/>
      <c r="G32" s="22"/>
    </row>
    <row r="33" spans="5:7">
      <c r="E33" s="22"/>
      <c r="G33" s="22"/>
    </row>
    <row r="34" spans="5:7">
      <c r="E34" s="22"/>
      <c r="G34" s="22"/>
    </row>
    <row r="35" spans="5:7">
      <c r="E35" s="22"/>
      <c r="G35" s="22"/>
    </row>
    <row r="36" spans="5:7">
      <c r="E36" s="22"/>
      <c r="G36" s="22"/>
    </row>
    <row r="37" spans="5:7">
      <c r="E37" s="22"/>
      <c r="G37" s="22"/>
    </row>
    <row r="38" spans="5:7">
      <c r="E38" s="22"/>
      <c r="G38" s="22"/>
    </row>
    <row r="39" spans="5:7">
      <c r="E39" s="22"/>
      <c r="G39" s="22"/>
    </row>
    <row r="40" spans="5:7">
      <c r="E40" s="22"/>
      <c r="G40" s="22"/>
    </row>
    <row r="41" spans="5:7">
      <c r="E41" s="22"/>
      <c r="G41" s="22"/>
    </row>
    <row r="42" spans="5:7">
      <c r="E42" s="22"/>
      <c r="G42" s="22"/>
    </row>
    <row r="43" spans="5:7">
      <c r="E43" s="22"/>
      <c r="G43" s="22"/>
    </row>
    <row r="44" spans="5:7">
      <c r="E44" s="22"/>
      <c r="G44" s="22"/>
    </row>
    <row r="45" spans="5:7">
      <c r="E45" s="22"/>
      <c r="G45" s="22"/>
    </row>
    <row r="46" spans="5:7">
      <c r="E46" s="22"/>
      <c r="G46" s="22"/>
    </row>
    <row r="47" spans="5:7">
      <c r="E47" s="22"/>
      <c r="G47" s="22"/>
    </row>
    <row r="48" spans="5:7">
      <c r="E48" s="22"/>
      <c r="G48" s="22"/>
    </row>
    <row r="49" spans="5:7">
      <c r="E49" s="22"/>
      <c r="G49" s="22"/>
    </row>
    <row r="50" spans="5:7">
      <c r="E50" s="22"/>
      <c r="G50" s="22"/>
    </row>
    <row r="51" spans="5:7">
      <c r="E51" s="22"/>
      <c r="G51" s="22"/>
    </row>
    <row r="52" spans="5:7">
      <c r="E52" s="22"/>
      <c r="G52" s="22"/>
    </row>
    <row r="53" spans="5:7">
      <c r="E53" s="22"/>
      <c r="G53" s="22"/>
    </row>
    <row r="54" spans="5:7">
      <c r="E54" s="22"/>
      <c r="G54" s="22"/>
    </row>
    <row r="55" spans="5:7">
      <c r="E55" s="22"/>
      <c r="G55" s="22"/>
    </row>
    <row r="56" spans="5:7">
      <c r="E56" s="22"/>
      <c r="G56" s="22"/>
    </row>
    <row r="57" spans="5:7">
      <c r="E57" s="22"/>
      <c r="G57" s="22"/>
    </row>
    <row r="58" spans="5:7">
      <c r="E58" s="22"/>
      <c r="G58" s="22"/>
    </row>
    <row r="59" spans="5:7">
      <c r="E59" s="22"/>
      <c r="G59" s="22"/>
    </row>
    <row r="60" spans="5:7">
      <c r="E60" s="22"/>
      <c r="G60" s="22"/>
    </row>
    <row r="61" spans="5:7">
      <c r="E61" s="22"/>
      <c r="G61" s="22"/>
    </row>
    <row r="62" spans="5:7">
      <c r="E62" s="22"/>
      <c r="G62" s="22"/>
    </row>
    <row r="63" spans="5:7">
      <c r="E63" s="22"/>
      <c r="G63" s="22"/>
    </row>
    <row r="64" spans="5:7">
      <c r="E64" s="22"/>
      <c r="G64" s="22"/>
    </row>
    <row r="65" spans="5:7">
      <c r="E65" s="22"/>
      <c r="G65" s="22"/>
    </row>
    <row r="66" spans="5:7">
      <c r="E66" s="22"/>
      <c r="G66" s="22"/>
    </row>
    <row r="67" spans="5:7">
      <c r="E67" s="22"/>
      <c r="G67" s="22"/>
    </row>
    <row r="68" spans="5:7">
      <c r="E68" s="22"/>
      <c r="G68" s="22"/>
    </row>
    <row r="69" spans="5:7">
      <c r="E69" s="22"/>
      <c r="G69" s="22"/>
    </row>
    <row r="70" spans="5:7">
      <c r="E70" s="22"/>
      <c r="G70" s="22"/>
    </row>
    <row r="71" spans="5:7">
      <c r="E71" s="22"/>
      <c r="G71" s="22"/>
    </row>
    <row r="72" spans="5:7">
      <c r="E72" s="22"/>
      <c r="G72" s="22"/>
    </row>
    <row r="73" spans="5:7">
      <c r="E73" s="22"/>
      <c r="G73" s="22"/>
    </row>
    <row r="74" spans="5:7">
      <c r="E74" s="22"/>
      <c r="G74" s="22"/>
    </row>
    <row r="75" spans="5:7">
      <c r="E75" s="22"/>
      <c r="G75" s="22"/>
    </row>
    <row r="76" spans="5:7">
      <c r="E76" s="22"/>
      <c r="G76" s="22"/>
    </row>
    <row r="77" spans="5:7">
      <c r="E77" s="22"/>
      <c r="G77" s="22"/>
    </row>
    <row r="78" spans="5:7">
      <c r="E78" s="22"/>
      <c r="G78" s="22"/>
    </row>
    <row r="79" spans="5:7">
      <c r="E79" s="22"/>
      <c r="G79" s="22"/>
    </row>
    <row r="80" spans="5:7">
      <c r="E80" s="22"/>
      <c r="G80" s="22"/>
    </row>
    <row r="81" spans="5:7">
      <c r="E81" s="22"/>
      <c r="G81" s="22"/>
    </row>
    <row r="82" spans="5:7">
      <c r="E82" s="22"/>
      <c r="G82" s="22"/>
    </row>
    <row r="83" spans="5:7">
      <c r="E83" s="22"/>
      <c r="G83" s="22"/>
    </row>
    <row r="84" spans="5:7">
      <c r="E84" s="22"/>
      <c r="G84" s="22"/>
    </row>
    <row r="85" spans="5:7">
      <c r="E85" s="22"/>
      <c r="G85" s="22"/>
    </row>
    <row r="86" spans="5:7">
      <c r="E86" s="22"/>
      <c r="G86" s="22"/>
    </row>
    <row r="87" spans="5:7">
      <c r="E87" s="22"/>
      <c r="G87" s="22"/>
    </row>
    <row r="88" spans="5:7">
      <c r="E88" s="22"/>
      <c r="G88" s="22"/>
    </row>
    <row r="89" spans="5:7">
      <c r="E89" s="22"/>
      <c r="G89" s="22"/>
    </row>
    <row r="90" spans="5:7">
      <c r="E90" s="22"/>
      <c r="G90" s="22"/>
    </row>
    <row r="91" spans="5:7">
      <c r="E91" s="22"/>
      <c r="G91" s="22"/>
    </row>
    <row r="92" spans="5:7">
      <c r="E92" s="22"/>
      <c r="G92" s="22"/>
    </row>
    <row r="93" spans="5:7">
      <c r="E93" s="22"/>
      <c r="G93" s="22"/>
    </row>
    <row r="94" spans="5:7">
      <c r="E94" s="22"/>
      <c r="G94" s="22"/>
    </row>
    <row r="95" spans="5:7">
      <c r="E95" s="22"/>
      <c r="G95" s="22"/>
    </row>
    <row r="96" spans="5:7">
      <c r="E96" s="22"/>
      <c r="G96" s="22"/>
    </row>
    <row r="97" spans="5:7">
      <c r="E97" s="22"/>
      <c r="G97" s="22"/>
    </row>
    <row r="98" spans="5:7">
      <c r="E98" s="22"/>
      <c r="G98" s="22"/>
    </row>
    <row r="99" spans="5:7">
      <c r="E99" s="22"/>
      <c r="G99" s="22"/>
    </row>
    <row r="100" spans="5:7">
      <c r="E100" s="22"/>
      <c r="G100" s="22"/>
    </row>
    <row r="101" spans="5:7">
      <c r="E101" s="22"/>
      <c r="G101" s="22"/>
    </row>
    <row r="102" spans="5:7">
      <c r="E102" s="22"/>
      <c r="G102" s="22"/>
    </row>
    <row r="103" spans="5:7">
      <c r="E103" s="22"/>
      <c r="G103" s="22"/>
    </row>
    <row r="104" spans="5:7">
      <c r="E104" s="22"/>
      <c r="G104" s="22"/>
    </row>
    <row r="105" spans="5:7">
      <c r="E105" s="22"/>
      <c r="G105" s="22"/>
    </row>
    <row r="106" spans="5:7">
      <c r="E106" s="22"/>
      <c r="G106" s="22"/>
    </row>
    <row r="107" spans="5:7">
      <c r="E107" s="22"/>
      <c r="G107" s="22"/>
    </row>
    <row r="108" spans="5:7">
      <c r="E108" s="22"/>
      <c r="G108" s="22"/>
    </row>
    <row r="109" spans="5:7">
      <c r="E109" s="22"/>
      <c r="G109" s="22"/>
    </row>
    <row r="110" spans="5:7">
      <c r="E110" s="22"/>
      <c r="G110" s="22"/>
    </row>
    <row r="111" spans="5:7">
      <c r="E111" s="22"/>
      <c r="G111" s="22"/>
    </row>
    <row r="112" spans="5:7">
      <c r="E112" s="22"/>
      <c r="G112" s="22"/>
    </row>
    <row r="113" spans="5:7">
      <c r="E113" s="22"/>
      <c r="G113" s="22"/>
    </row>
    <row r="114" spans="5:7">
      <c r="E114" s="22"/>
      <c r="G114" s="22"/>
    </row>
    <row r="115" spans="5:7">
      <c r="E115" s="22"/>
      <c r="G115" s="22"/>
    </row>
    <row r="116" spans="5:7">
      <c r="E116" s="22"/>
      <c r="G116" s="22"/>
    </row>
    <row r="117" spans="5:7">
      <c r="E117" s="22"/>
      <c r="G117" s="22"/>
    </row>
    <row r="118" spans="5:7">
      <c r="E118" s="22"/>
      <c r="G118" s="22"/>
    </row>
    <row r="119" spans="5:7">
      <c r="E119" s="22"/>
      <c r="G119" s="22"/>
    </row>
    <row r="120" spans="5:7">
      <c r="E120" s="22"/>
      <c r="G120" s="22"/>
    </row>
    <row r="121" spans="5:7">
      <c r="E121" s="22"/>
      <c r="G121" s="22"/>
    </row>
    <row r="122" spans="5:7">
      <c r="E122" s="22"/>
      <c r="G122" s="22"/>
    </row>
    <row r="123" spans="5:7">
      <c r="E123" s="22"/>
      <c r="G123" s="22"/>
    </row>
    <row r="124" spans="5:7">
      <c r="E124" s="22"/>
      <c r="G124" s="22"/>
    </row>
    <row r="125" spans="5:7">
      <c r="E125" s="22"/>
      <c r="G125" s="22"/>
    </row>
    <row r="126" spans="5:7">
      <c r="E126" s="22"/>
      <c r="G126" s="22"/>
    </row>
    <row r="127" spans="5:7">
      <c r="E127" s="22"/>
      <c r="G127" s="22"/>
    </row>
    <row r="128" spans="5:7">
      <c r="E128" s="22"/>
      <c r="G128" s="22"/>
    </row>
    <row r="129" spans="5:7">
      <c r="E129" s="22"/>
      <c r="G129" s="22"/>
    </row>
    <row r="130" spans="5:7">
      <c r="E130" s="22"/>
      <c r="G130" s="22"/>
    </row>
    <row r="131" spans="5:7">
      <c r="E131" s="22"/>
      <c r="G131" s="22"/>
    </row>
    <row r="132" spans="5:7">
      <c r="E132" s="22"/>
      <c r="G132" s="22"/>
    </row>
    <row r="133" spans="5:7">
      <c r="E133" s="22"/>
      <c r="G133" s="22"/>
    </row>
    <row r="134" spans="5:7">
      <c r="E134" s="22"/>
      <c r="G134" s="22"/>
    </row>
    <row r="135" spans="5:7">
      <c r="E135" s="22"/>
      <c r="G135" s="22"/>
    </row>
    <row r="136" spans="5:7">
      <c r="E136" s="22"/>
      <c r="G136" s="22"/>
    </row>
    <row r="137" spans="5:7">
      <c r="E137" s="22"/>
      <c r="G137" s="22"/>
    </row>
    <row r="138" spans="5:7">
      <c r="E138" s="22"/>
      <c r="G138" s="22"/>
    </row>
    <row r="139" spans="5:7">
      <c r="E139" s="22"/>
      <c r="G139" s="22"/>
    </row>
    <row r="140" spans="5:7">
      <c r="E140" s="22"/>
      <c r="G140" s="22"/>
    </row>
    <row r="141" spans="5:7">
      <c r="E141" s="22"/>
      <c r="G141" s="22"/>
    </row>
    <row r="142" spans="5:7">
      <c r="E142" s="22"/>
      <c r="G142" s="22"/>
    </row>
    <row r="143" spans="5:7">
      <c r="E143" s="22"/>
      <c r="G143" s="22"/>
    </row>
    <row r="144" spans="5:7">
      <c r="E144" s="22"/>
      <c r="G144" s="22"/>
    </row>
    <row r="145" spans="5:7">
      <c r="E145" s="22"/>
      <c r="G145" s="22"/>
    </row>
    <row r="146" spans="5:7">
      <c r="E146" s="22"/>
      <c r="G146" s="22"/>
    </row>
    <row r="147" spans="5:7">
      <c r="E147" s="22"/>
      <c r="G147" s="22"/>
    </row>
    <row r="148" spans="5:7">
      <c r="E148" s="22"/>
      <c r="G148" s="22"/>
    </row>
    <row r="149" spans="5:7">
      <c r="E149" s="22"/>
      <c r="G149" s="22"/>
    </row>
    <row r="150" spans="5:7">
      <c r="E150" s="22"/>
      <c r="G150" s="22"/>
    </row>
    <row r="151" spans="5:7">
      <c r="E151" s="22"/>
      <c r="G151" s="22"/>
    </row>
    <row r="152" spans="5:7">
      <c r="E152" s="22"/>
      <c r="G152" s="22"/>
    </row>
    <row r="153" spans="5:7">
      <c r="E153" s="22"/>
      <c r="G153" s="22"/>
    </row>
    <row r="154" spans="5:7">
      <c r="E154" s="22"/>
      <c r="G154" s="22"/>
    </row>
    <row r="155" spans="5:7">
      <c r="E155" s="22"/>
      <c r="G155" s="22"/>
    </row>
    <row r="156" spans="5:7">
      <c r="E156" s="22"/>
      <c r="G156" s="22"/>
    </row>
    <row r="157" spans="5:7">
      <c r="E157" s="22"/>
      <c r="G157" s="22"/>
    </row>
    <row r="158" spans="5:7">
      <c r="E158" s="22"/>
      <c r="G158" s="22"/>
    </row>
    <row r="159" spans="5:7">
      <c r="E159" s="22"/>
      <c r="G159" s="22"/>
    </row>
    <row r="160" spans="5:7">
      <c r="E160" s="22"/>
      <c r="G160" s="22"/>
    </row>
    <row r="161" spans="5:7">
      <c r="E161" s="22"/>
      <c r="G161" s="22"/>
    </row>
    <row r="162" spans="5:7">
      <c r="E162" s="22"/>
      <c r="G162" s="22"/>
    </row>
    <row r="163" spans="5:7">
      <c r="E163" s="22"/>
      <c r="G163" s="22"/>
    </row>
    <row r="164" spans="5:7">
      <c r="E164" s="22"/>
      <c r="G164" s="22"/>
    </row>
    <row r="165" spans="5:7">
      <c r="E165" s="22"/>
      <c r="G165" s="22"/>
    </row>
    <row r="166" spans="5:7">
      <c r="E166" s="22"/>
      <c r="G166" s="22"/>
    </row>
    <row r="167" spans="5:7">
      <c r="E167" s="22"/>
      <c r="G167" s="22"/>
    </row>
    <row r="168" spans="5:7">
      <c r="E168" s="22"/>
      <c r="G168" s="22"/>
    </row>
    <row r="169" spans="5:7">
      <c r="E169" s="22"/>
      <c r="G169" s="22"/>
    </row>
    <row r="170" spans="5:7">
      <c r="E170" s="22"/>
      <c r="G170" s="22"/>
    </row>
    <row r="171" spans="5:7">
      <c r="E171" s="22"/>
      <c r="G171" s="22"/>
    </row>
    <row r="172" spans="5:7">
      <c r="E172" s="22"/>
      <c r="G172" s="22"/>
    </row>
    <row r="173" spans="5:7">
      <c r="E173" s="22"/>
      <c r="G173" s="22"/>
    </row>
    <row r="174" spans="5:7">
      <c r="E174" s="22"/>
      <c r="G174" s="22"/>
    </row>
    <row r="175" spans="5:7">
      <c r="E175" s="22"/>
      <c r="G175" s="22"/>
    </row>
    <row r="176" spans="5:7">
      <c r="E176" s="22"/>
      <c r="G176" s="22"/>
    </row>
    <row r="177" spans="5:7">
      <c r="E177" s="22"/>
      <c r="G177" s="22"/>
    </row>
    <row r="178" spans="5:7">
      <c r="E178" s="22"/>
      <c r="G178" s="22"/>
    </row>
    <row r="179" spans="5:7">
      <c r="E179" s="22"/>
      <c r="G179" s="22"/>
    </row>
    <row r="180" spans="5:7">
      <c r="E180" s="22"/>
      <c r="G180" s="22"/>
    </row>
    <row r="181" spans="5:7">
      <c r="E181" s="22"/>
      <c r="G181" s="22"/>
    </row>
    <row r="182" spans="5:7">
      <c r="E182" s="22"/>
      <c r="G182" s="22"/>
    </row>
    <row r="183" spans="5:7">
      <c r="E183" s="22"/>
      <c r="G183" s="22"/>
    </row>
    <row r="184" spans="5:7">
      <c r="E184" s="22"/>
      <c r="G184" s="22"/>
    </row>
    <row r="185" spans="5:7">
      <c r="E185" s="22"/>
      <c r="G185" s="22"/>
    </row>
    <row r="186" spans="5:7">
      <c r="E186" s="22"/>
      <c r="G186" s="22"/>
    </row>
    <row r="187" spans="5:7">
      <c r="E187" s="22"/>
      <c r="G187" s="22"/>
    </row>
    <row r="188" spans="5:7">
      <c r="E188" s="22"/>
      <c r="G188" s="22"/>
    </row>
    <row r="189" spans="5:7">
      <c r="E189" s="22"/>
      <c r="G189" s="22"/>
    </row>
    <row r="190" spans="5:7">
      <c r="E190" s="22"/>
      <c r="G190" s="22"/>
    </row>
    <row r="191" spans="5:7">
      <c r="E191" s="22"/>
      <c r="G191" s="22"/>
    </row>
    <row r="192" spans="5:7">
      <c r="E192" s="22"/>
      <c r="G192" s="22"/>
    </row>
    <row r="193" spans="5:7">
      <c r="E193" s="22"/>
      <c r="G193" s="22"/>
    </row>
    <row r="194" spans="5:7">
      <c r="E194" s="22"/>
      <c r="G194" s="22"/>
    </row>
    <row r="195" spans="5:7">
      <c r="E195" s="22"/>
      <c r="G195" s="22"/>
    </row>
    <row r="196" spans="5:7">
      <c r="E196" s="22"/>
      <c r="G196" s="22"/>
    </row>
    <row r="197" spans="5:7">
      <c r="E197" s="22"/>
      <c r="G197" s="22"/>
    </row>
    <row r="198" spans="5:7">
      <c r="E198" s="22"/>
      <c r="G198" s="22"/>
    </row>
    <row r="199" spans="5:7">
      <c r="E199" s="22"/>
      <c r="G199" s="22"/>
    </row>
    <row r="200" spans="5:7">
      <c r="E200" s="22"/>
      <c r="G200" s="22"/>
    </row>
    <row r="201" spans="5:7">
      <c r="E201" s="22"/>
      <c r="G201" s="22"/>
    </row>
    <row r="202" spans="5:7">
      <c r="E202" s="22"/>
      <c r="G202" s="22"/>
    </row>
    <row r="203" spans="5:7">
      <c r="E203" s="22"/>
      <c r="G203" s="22"/>
    </row>
    <row r="204" spans="5:7">
      <c r="E204" s="22"/>
      <c r="G204" s="22"/>
    </row>
    <row r="205" spans="5:7">
      <c r="E205" s="22"/>
      <c r="G205" s="22"/>
    </row>
    <row r="206" spans="5:7">
      <c r="E206" s="22"/>
      <c r="G206" s="22"/>
    </row>
    <row r="207" spans="5:7">
      <c r="E207" s="22"/>
      <c r="G207" s="22"/>
    </row>
    <row r="208" spans="5:7">
      <c r="E208" s="22"/>
      <c r="G208" s="22"/>
    </row>
    <row r="209" spans="5:7">
      <c r="E209" s="22"/>
      <c r="G209" s="22"/>
    </row>
    <row r="210" spans="5:7">
      <c r="E210" s="22"/>
      <c r="G210" s="22"/>
    </row>
    <row r="211" spans="5:7">
      <c r="E211" s="22"/>
      <c r="G211" s="22"/>
    </row>
    <row r="212" spans="5:7">
      <c r="E212" s="22"/>
      <c r="G212" s="22"/>
    </row>
    <row r="213" spans="5:7">
      <c r="E213" s="22"/>
      <c r="G213" s="22"/>
    </row>
    <row r="214" spans="5:7">
      <c r="E214" s="22"/>
      <c r="G214" s="22"/>
    </row>
    <row r="215" spans="5:7">
      <c r="E215" s="22"/>
      <c r="G215" s="22"/>
    </row>
    <row r="216" spans="5:7">
      <c r="E216" s="22"/>
      <c r="G216" s="22"/>
    </row>
    <row r="217" spans="5:7">
      <c r="E217" s="22"/>
      <c r="G217" s="22"/>
    </row>
    <row r="218" spans="5:7">
      <c r="E218" s="22"/>
      <c r="G218" s="22"/>
    </row>
    <row r="219" spans="5:7">
      <c r="E219" s="22"/>
      <c r="G219" s="22"/>
    </row>
    <row r="220" spans="5:7">
      <c r="E220" s="22"/>
      <c r="G220" s="22"/>
    </row>
    <row r="221" spans="5:7">
      <c r="E221" s="22"/>
      <c r="G221" s="22"/>
    </row>
    <row r="222" spans="5:7">
      <c r="E222" s="22"/>
      <c r="G222" s="22"/>
    </row>
    <row r="223" spans="5:7">
      <c r="E223" s="22"/>
      <c r="G223" s="22"/>
    </row>
    <row r="224" spans="5:7">
      <c r="E224" s="22"/>
      <c r="G224" s="22"/>
    </row>
    <row r="225" spans="5:7">
      <c r="E225" s="22"/>
      <c r="G225" s="22"/>
    </row>
    <row r="226" spans="5:7">
      <c r="E226" s="22"/>
      <c r="G226" s="22"/>
    </row>
    <row r="227" spans="5:7">
      <c r="E227" s="22"/>
      <c r="G227" s="22"/>
    </row>
    <row r="228" spans="5:7">
      <c r="E228" s="22"/>
      <c r="G228" s="22"/>
    </row>
    <row r="229" spans="5:7">
      <c r="E229" s="22"/>
      <c r="G229" s="22"/>
    </row>
    <row r="230" spans="5:7">
      <c r="E230" s="22"/>
      <c r="G230" s="22"/>
    </row>
    <row r="231" spans="5:7">
      <c r="E231" s="22"/>
      <c r="G231" s="22"/>
    </row>
    <row r="232" spans="5:7">
      <c r="E232" s="22"/>
      <c r="G232" s="22"/>
    </row>
    <row r="233" spans="5:7">
      <c r="E233" s="22"/>
      <c r="G233" s="22"/>
    </row>
    <row r="234" spans="5:7">
      <c r="E234" s="22"/>
      <c r="G234" s="22"/>
    </row>
    <row r="235" spans="5:7">
      <c r="E235" s="22"/>
      <c r="G235" s="22"/>
    </row>
    <row r="236" spans="5:7">
      <c r="E236" s="22"/>
      <c r="G236" s="22"/>
    </row>
    <row r="237" spans="5:7">
      <c r="E237" s="22"/>
      <c r="G237" s="22"/>
    </row>
    <row r="238" spans="5:7">
      <c r="E238" s="22"/>
      <c r="G238" s="22"/>
    </row>
    <row r="239" spans="5:7">
      <c r="E239" s="22"/>
      <c r="G239" s="22"/>
    </row>
    <row r="240" spans="5:7">
      <c r="E240" s="22"/>
      <c r="G240" s="22"/>
    </row>
    <row r="241" spans="5:7">
      <c r="E241" s="22"/>
      <c r="G241" s="22"/>
    </row>
    <row r="242" spans="5:7">
      <c r="E242" s="22"/>
      <c r="G242" s="22"/>
    </row>
    <row r="243" spans="5:7">
      <c r="E243" s="22"/>
      <c r="G243" s="22"/>
    </row>
    <row r="244" spans="5:7">
      <c r="E244" s="22"/>
      <c r="G244" s="22"/>
    </row>
    <row r="245" spans="5:7">
      <c r="E245" s="22"/>
      <c r="G245" s="22"/>
    </row>
    <row r="246" spans="5:7">
      <c r="E246" s="22"/>
      <c r="G246" s="22"/>
    </row>
    <row r="247" spans="5:7">
      <c r="E247" s="22"/>
      <c r="G247" s="22"/>
    </row>
    <row r="248" spans="5:7">
      <c r="E248" s="22"/>
      <c r="G248" s="22"/>
    </row>
    <row r="249" spans="5:7">
      <c r="E249" s="22"/>
      <c r="G249" s="22"/>
    </row>
    <row r="250" spans="5:7">
      <c r="E250" s="22"/>
      <c r="G250" s="22"/>
    </row>
    <row r="251" spans="5:7">
      <c r="E251" s="22"/>
      <c r="G251" s="22"/>
    </row>
    <row r="252" spans="5:7">
      <c r="E252" s="22"/>
      <c r="G252" s="22"/>
    </row>
    <row r="253" spans="5:7">
      <c r="E253" s="22"/>
      <c r="G253" s="22"/>
    </row>
    <row r="254" spans="5:7">
      <c r="E254" s="22"/>
      <c r="G254" s="22"/>
    </row>
    <row r="255" spans="5:7">
      <c r="E255" s="22"/>
      <c r="G255" s="22"/>
    </row>
    <row r="256" spans="5:7">
      <c r="E256" s="22"/>
      <c r="G256" s="22"/>
    </row>
    <row r="257" spans="5:7">
      <c r="E257" s="22"/>
      <c r="G257" s="22"/>
    </row>
    <row r="258" spans="5:7">
      <c r="E258" s="22"/>
      <c r="G258" s="22"/>
    </row>
    <row r="259" spans="5:7">
      <c r="E259" s="22"/>
      <c r="G259" s="22"/>
    </row>
    <row r="260" spans="5:7">
      <c r="E260" s="22"/>
      <c r="G260" s="22"/>
    </row>
    <row r="261" spans="5:7">
      <c r="E261" s="22"/>
      <c r="G261" s="22"/>
    </row>
    <row r="262" spans="5:7">
      <c r="E262" s="22"/>
      <c r="G262" s="22"/>
    </row>
    <row r="263" spans="5:7">
      <c r="E263" s="22"/>
      <c r="G263" s="22"/>
    </row>
    <row r="264" spans="5:7">
      <c r="E264" s="22"/>
      <c r="G264" s="22"/>
    </row>
    <row r="265" spans="5:7">
      <c r="E265" s="22"/>
      <c r="G265" s="22"/>
    </row>
    <row r="266" spans="5:7">
      <c r="E266" s="22"/>
      <c r="G266" s="22"/>
    </row>
    <row r="267" spans="5:7">
      <c r="E267" s="22"/>
      <c r="G267" s="22"/>
    </row>
    <row r="268" spans="5:7">
      <c r="E268" s="22"/>
      <c r="G268" s="22"/>
    </row>
    <row r="269" spans="5:7">
      <c r="E269" s="22"/>
      <c r="G269" s="22"/>
    </row>
    <row r="270" spans="5:7">
      <c r="E270" s="22"/>
      <c r="G270" s="22"/>
    </row>
    <row r="271" spans="5:7">
      <c r="E271" s="22"/>
      <c r="G271" s="22"/>
    </row>
    <row r="272" spans="5:7">
      <c r="E272" s="22"/>
      <c r="G272" s="22"/>
    </row>
    <row r="273" spans="5:7">
      <c r="E273" s="22"/>
      <c r="G273" s="22"/>
    </row>
    <row r="274" spans="5:7">
      <c r="E274" s="22"/>
      <c r="G274" s="22"/>
    </row>
    <row r="275" spans="5:7">
      <c r="E275" s="22"/>
      <c r="G275" s="22"/>
    </row>
    <row r="276" spans="5:7">
      <c r="E276" s="22"/>
      <c r="G276" s="22"/>
    </row>
    <row r="277" spans="5:7">
      <c r="E277" s="22"/>
      <c r="G277" s="22"/>
    </row>
    <row r="278" spans="5:7">
      <c r="E278" s="22"/>
      <c r="G278" s="22"/>
    </row>
    <row r="279" spans="5:7">
      <c r="E279" s="22"/>
      <c r="G279" s="22"/>
    </row>
    <row r="280" spans="5:7">
      <c r="E280" s="22"/>
      <c r="G280" s="22"/>
    </row>
    <row r="281" spans="5:7">
      <c r="E281" s="22"/>
      <c r="G281" s="22"/>
    </row>
    <row r="282" spans="5:7">
      <c r="E282" s="22"/>
      <c r="G282" s="22"/>
    </row>
    <row r="283" spans="5:7">
      <c r="E283" s="22"/>
      <c r="G283" s="22"/>
    </row>
    <row r="284" spans="5:7">
      <c r="E284" s="22"/>
      <c r="G284" s="22"/>
    </row>
    <row r="285" spans="5:7">
      <c r="E285" s="22"/>
      <c r="G285" s="22"/>
    </row>
    <row r="286" spans="5:7">
      <c r="E286" s="22"/>
      <c r="G286" s="22"/>
    </row>
    <row r="287" spans="5:7">
      <c r="E287" s="22"/>
      <c r="G287" s="22"/>
    </row>
    <row r="288" spans="5:7">
      <c r="E288" s="22"/>
      <c r="G288" s="22"/>
    </row>
    <row r="289" spans="5:7">
      <c r="E289" s="22"/>
      <c r="G289" s="22"/>
    </row>
    <row r="290" spans="5:7">
      <c r="E290" s="22"/>
      <c r="G290" s="22"/>
    </row>
    <row r="291" spans="5:7">
      <c r="E291" s="22"/>
      <c r="G291" s="22"/>
    </row>
    <row r="292" spans="5:7">
      <c r="E292" s="22"/>
      <c r="G292" s="22"/>
    </row>
    <row r="293" spans="5:7">
      <c r="E293" s="22"/>
      <c r="G293" s="22"/>
    </row>
    <row r="294" spans="5:7">
      <c r="E294" s="22"/>
      <c r="G294" s="22"/>
    </row>
    <row r="295" spans="5:7">
      <c r="E295" s="22"/>
      <c r="G295" s="22"/>
    </row>
    <row r="296" spans="5:7">
      <c r="E296" s="22"/>
      <c r="G296" s="22"/>
    </row>
    <row r="297" spans="5:7">
      <c r="E297" s="22"/>
      <c r="G297" s="22"/>
    </row>
    <row r="298" spans="5:7">
      <c r="E298" s="22"/>
      <c r="G298" s="22"/>
    </row>
    <row r="299" spans="5:7">
      <c r="E299" s="22"/>
      <c r="G299" s="22"/>
    </row>
    <row r="300" spans="5:7">
      <c r="E300" s="22"/>
      <c r="G300" s="22"/>
    </row>
    <row r="301" spans="5:7">
      <c r="E301" s="22"/>
      <c r="G301" s="22"/>
    </row>
    <row r="302" spans="5:7">
      <c r="E302" s="22"/>
      <c r="G302" s="22"/>
    </row>
    <row r="303" spans="5:7">
      <c r="E303" s="22"/>
      <c r="G303" s="22"/>
    </row>
    <row r="304" spans="5:7">
      <c r="E304" s="22"/>
      <c r="G304" s="22"/>
    </row>
    <row r="305" spans="5:7">
      <c r="E305" s="22"/>
      <c r="G305" s="22"/>
    </row>
    <row r="306" spans="5:7">
      <c r="E306" s="22"/>
      <c r="G306" s="22"/>
    </row>
    <row r="307" spans="5:7">
      <c r="E307" s="22"/>
      <c r="G307" s="22"/>
    </row>
    <row r="308" spans="5:7">
      <c r="E308" s="22"/>
      <c r="G308" s="22"/>
    </row>
    <row r="309" spans="5:7">
      <c r="E309" s="22"/>
      <c r="G309" s="22"/>
    </row>
    <row r="310" spans="5:7">
      <c r="E310" s="22"/>
      <c r="G310" s="22"/>
    </row>
    <row r="311" spans="5:7">
      <c r="E311" s="22"/>
      <c r="G311" s="22"/>
    </row>
    <row r="312" spans="5:7">
      <c r="E312" s="22"/>
      <c r="G312" s="22"/>
    </row>
    <row r="313" spans="5:7">
      <c r="E313" s="22"/>
      <c r="G313" s="22"/>
    </row>
    <row r="314" spans="5:7">
      <c r="E314" s="22"/>
      <c r="G314" s="22"/>
    </row>
    <row r="315" spans="5:7">
      <c r="E315" s="22"/>
      <c r="G315" s="22"/>
    </row>
    <row r="316" spans="5:7">
      <c r="E316" s="22"/>
      <c r="G316" s="22"/>
    </row>
    <row r="317" spans="5:7">
      <c r="E317" s="22"/>
      <c r="G317" s="22"/>
    </row>
    <row r="318" spans="5:7">
      <c r="E318" s="22"/>
      <c r="G318" s="22"/>
    </row>
    <row r="319" spans="5:7">
      <c r="E319" s="22"/>
      <c r="G319" s="22"/>
    </row>
    <row r="320" spans="5:7">
      <c r="E320" s="22"/>
      <c r="G320" s="22"/>
    </row>
    <row r="321" spans="5:7">
      <c r="E321" s="22"/>
      <c r="G321" s="22"/>
    </row>
    <row r="322" spans="5:7">
      <c r="E322" s="22"/>
      <c r="G322" s="22"/>
    </row>
    <row r="323" spans="5:7">
      <c r="E323" s="22"/>
      <c r="G323" s="22"/>
    </row>
    <row r="324" spans="5:7">
      <c r="E324" s="22"/>
      <c r="G324" s="22"/>
    </row>
    <row r="325" spans="5:7">
      <c r="E325" s="22"/>
      <c r="G325" s="22"/>
    </row>
    <row r="326" spans="5:7">
      <c r="E326" s="22"/>
      <c r="G326" s="22"/>
    </row>
    <row r="327" spans="5:7">
      <c r="E327" s="22"/>
      <c r="G327" s="22"/>
    </row>
    <row r="328" spans="5:7">
      <c r="E328" s="22"/>
      <c r="G328" s="22"/>
    </row>
    <row r="329" spans="5:7">
      <c r="E329" s="22"/>
      <c r="G329" s="22"/>
    </row>
    <row r="330" spans="5:7">
      <c r="E330" s="22"/>
      <c r="G330" s="22"/>
    </row>
    <row r="331" spans="5:7">
      <c r="E331" s="22"/>
      <c r="G331" s="22"/>
    </row>
    <row r="332" spans="5:7">
      <c r="E332" s="22"/>
      <c r="G332" s="22"/>
    </row>
    <row r="333" spans="5:7">
      <c r="E333" s="22"/>
      <c r="G333" s="22"/>
    </row>
    <row r="334" spans="5:7">
      <c r="E334" s="22"/>
      <c r="G334" s="22"/>
    </row>
    <row r="335" spans="5:7">
      <c r="E335" s="22"/>
      <c r="G335" s="22"/>
    </row>
    <row r="336" spans="5:7">
      <c r="E336" s="22"/>
      <c r="G336" s="22"/>
    </row>
    <row r="337" spans="5:7">
      <c r="E337" s="22"/>
      <c r="G337" s="22"/>
    </row>
    <row r="338" spans="5:7">
      <c r="E338" s="22"/>
      <c r="G338" s="22"/>
    </row>
    <row r="339" spans="5:7">
      <c r="E339" s="22"/>
      <c r="G339" s="22"/>
    </row>
    <row r="340" spans="5:7">
      <c r="E340" s="22"/>
      <c r="G340" s="22"/>
    </row>
    <row r="341" spans="5:7">
      <c r="E341" s="22"/>
      <c r="G341" s="22"/>
    </row>
    <row r="342" spans="5:7">
      <c r="E342" s="22"/>
      <c r="G342" s="22"/>
    </row>
    <row r="343" spans="5:7">
      <c r="E343" s="22"/>
      <c r="G343" s="22"/>
    </row>
    <row r="344" spans="5:7">
      <c r="E344" s="22"/>
      <c r="G344" s="22"/>
    </row>
    <row r="345" spans="5:7">
      <c r="E345" s="22"/>
      <c r="G345" s="22"/>
    </row>
    <row r="346" spans="5:7">
      <c r="E346" s="22"/>
      <c r="G346" s="22"/>
    </row>
    <row r="347" spans="5:7">
      <c r="E347" s="22"/>
      <c r="G347" s="22"/>
    </row>
    <row r="348" spans="5:7">
      <c r="E348" s="22"/>
      <c r="G348" s="22"/>
    </row>
    <row r="349" spans="5:7">
      <c r="E349" s="22"/>
      <c r="G349" s="22"/>
    </row>
    <row r="350" spans="5:7">
      <c r="E350" s="22"/>
      <c r="G350" s="22"/>
    </row>
    <row r="351" spans="5:7">
      <c r="E351" s="22"/>
      <c r="G351" s="22"/>
    </row>
    <row r="352" spans="5:7">
      <c r="E352" s="22"/>
      <c r="G352" s="22"/>
    </row>
    <row r="353" spans="5:7">
      <c r="E353" s="22"/>
      <c r="G353" s="22"/>
    </row>
    <row r="354" spans="5:7">
      <c r="E354" s="22"/>
      <c r="G354" s="22"/>
    </row>
    <row r="355" spans="5:7">
      <c r="E355" s="22"/>
      <c r="G355" s="22"/>
    </row>
    <row r="356" spans="5:7">
      <c r="E356" s="22"/>
      <c r="G356" s="22"/>
    </row>
    <row r="357" spans="5:7">
      <c r="E357" s="22"/>
      <c r="G357" s="22"/>
    </row>
    <row r="358" spans="5:7">
      <c r="E358" s="22"/>
      <c r="G358" s="22"/>
    </row>
    <row r="359" spans="5:7">
      <c r="E359" s="22"/>
      <c r="G359" s="22"/>
    </row>
    <row r="360" spans="5:7">
      <c r="E360" s="22"/>
      <c r="G360" s="22"/>
    </row>
    <row r="361" spans="5:7">
      <c r="E361" s="22"/>
      <c r="G361" s="22"/>
    </row>
    <row r="362" spans="5:7">
      <c r="E362" s="22"/>
      <c r="G362" s="22"/>
    </row>
    <row r="363" spans="5:7">
      <c r="E363" s="22"/>
      <c r="G363" s="22"/>
    </row>
    <row r="364" spans="5:7">
      <c r="E364" s="22"/>
      <c r="G364" s="22"/>
    </row>
    <row r="365" spans="5:7">
      <c r="E365" s="22"/>
      <c r="G365" s="22"/>
    </row>
    <row r="366" spans="5:7">
      <c r="E366" s="22"/>
      <c r="G366" s="22"/>
    </row>
    <row r="367" spans="5:7">
      <c r="E367" s="22"/>
      <c r="G367" s="22"/>
    </row>
    <row r="368" spans="5:7">
      <c r="E368" s="22"/>
      <c r="G368" s="22"/>
    </row>
    <row r="369" spans="5:7">
      <c r="E369" s="22"/>
      <c r="G369" s="22"/>
    </row>
    <row r="370" spans="5:7">
      <c r="E370" s="22"/>
      <c r="G370" s="22"/>
    </row>
    <row r="371" spans="5:7">
      <c r="E371" s="22"/>
      <c r="G371" s="22"/>
    </row>
    <row r="372" spans="5:7">
      <c r="E372" s="22"/>
      <c r="G372" s="22"/>
    </row>
    <row r="373" spans="5:7">
      <c r="E373" s="22"/>
      <c r="G373" s="22"/>
    </row>
    <row r="374" spans="5:7">
      <c r="E374" s="22"/>
      <c r="G374" s="22"/>
    </row>
    <row r="375" spans="5:7">
      <c r="E375" s="22"/>
      <c r="G375" s="22"/>
    </row>
    <row r="376" spans="5:7">
      <c r="E376" s="22"/>
      <c r="G376" s="22"/>
    </row>
    <row r="377" spans="5:7">
      <c r="E377" s="22"/>
      <c r="G377" s="22"/>
    </row>
    <row r="378" spans="5:7">
      <c r="E378" s="22"/>
      <c r="G378" s="22"/>
    </row>
    <row r="379" spans="5:7">
      <c r="E379" s="22"/>
      <c r="G379" s="22"/>
    </row>
    <row r="380" spans="5:7">
      <c r="E380" s="22"/>
      <c r="G380" s="22"/>
    </row>
    <row r="381" spans="5:7">
      <c r="E381" s="22"/>
      <c r="G381" s="22"/>
    </row>
    <row r="382" spans="5:7">
      <c r="E382" s="22"/>
      <c r="G382" s="22"/>
    </row>
    <row r="383" spans="5:7">
      <c r="E383" s="22"/>
      <c r="G383" s="22"/>
    </row>
    <row r="384" spans="5:7">
      <c r="E384" s="22"/>
      <c r="G384" s="22"/>
    </row>
    <row r="385" spans="5:7">
      <c r="E385" s="22"/>
      <c r="G385" s="22"/>
    </row>
    <row r="386" spans="5:7">
      <c r="E386" s="22"/>
      <c r="G386" s="22"/>
    </row>
    <row r="387" spans="5:7">
      <c r="E387" s="22"/>
      <c r="G387" s="22"/>
    </row>
    <row r="388" spans="5:7">
      <c r="E388" s="22"/>
      <c r="G388" s="22"/>
    </row>
    <row r="389" spans="5:7">
      <c r="E389" s="22"/>
      <c r="G389" s="22"/>
    </row>
    <row r="390" spans="5:7">
      <c r="E390" s="22"/>
      <c r="G390" s="22"/>
    </row>
    <row r="391" spans="5:7">
      <c r="E391" s="22"/>
      <c r="G391" s="22"/>
    </row>
    <row r="392" spans="5:7">
      <c r="E392" s="22"/>
      <c r="G392" s="22"/>
    </row>
    <row r="393" spans="5:7">
      <c r="E393" s="22"/>
      <c r="G393" s="22"/>
    </row>
    <row r="394" spans="5:7">
      <c r="E394" s="22"/>
      <c r="G394" s="22"/>
    </row>
    <row r="395" spans="5:7">
      <c r="E395" s="22"/>
      <c r="G395" s="22"/>
    </row>
    <row r="396" spans="5:7">
      <c r="E396" s="22"/>
      <c r="G396" s="22"/>
    </row>
    <row r="397" spans="5:7">
      <c r="E397" s="22"/>
      <c r="G397" s="22"/>
    </row>
    <row r="398" spans="5:7">
      <c r="E398" s="22"/>
      <c r="G398" s="22"/>
    </row>
    <row r="399" spans="5:7">
      <c r="E399" s="22"/>
      <c r="G399" s="22"/>
    </row>
    <row r="400" spans="5:7">
      <c r="E400" s="22"/>
      <c r="G400" s="22"/>
    </row>
    <row r="401" spans="5:7">
      <c r="E401" s="22"/>
      <c r="G401" s="22"/>
    </row>
    <row r="402" spans="5:7">
      <c r="E402" s="22"/>
      <c r="G402" s="22"/>
    </row>
    <row r="403" spans="5:7">
      <c r="E403" s="22"/>
      <c r="G403" s="22"/>
    </row>
    <row r="404" spans="5:7">
      <c r="E404" s="22"/>
      <c r="G404" s="22"/>
    </row>
    <row r="405" spans="5:7">
      <c r="E405" s="22"/>
      <c r="G405" s="22"/>
    </row>
    <row r="406" spans="5:7">
      <c r="E406" s="22"/>
      <c r="G406" s="22"/>
    </row>
    <row r="407" spans="5:7">
      <c r="E407" s="22"/>
      <c r="G407" s="22"/>
    </row>
    <row r="408" spans="5:7">
      <c r="E408" s="22"/>
      <c r="G408" s="22"/>
    </row>
    <row r="409" spans="5:7">
      <c r="E409" s="22"/>
      <c r="G409" s="22"/>
    </row>
    <row r="410" spans="5:7">
      <c r="E410" s="22"/>
      <c r="G410" s="22"/>
    </row>
    <row r="411" spans="5:7">
      <c r="E411" s="22"/>
      <c r="G411" s="22"/>
    </row>
    <row r="412" spans="5:7">
      <c r="E412" s="22"/>
      <c r="G412" s="22"/>
    </row>
    <row r="413" spans="5:7">
      <c r="E413" s="22"/>
      <c r="G413" s="22"/>
    </row>
    <row r="414" spans="5:7">
      <c r="E414" s="22"/>
      <c r="G414" s="22"/>
    </row>
    <row r="415" spans="5:7">
      <c r="E415" s="22"/>
      <c r="G415" s="22"/>
    </row>
    <row r="416" spans="5:7">
      <c r="E416" s="22"/>
      <c r="G416" s="22"/>
    </row>
    <row r="417" spans="5:7">
      <c r="E417" s="22"/>
      <c r="G417" s="22"/>
    </row>
    <row r="418" spans="5:7">
      <c r="E418" s="22"/>
      <c r="G418" s="22"/>
    </row>
    <row r="419" spans="5:7">
      <c r="E419" s="22"/>
      <c r="G419" s="22"/>
    </row>
    <row r="420" spans="5:7">
      <c r="E420" s="22"/>
      <c r="G420" s="22"/>
    </row>
    <row r="421" spans="5:7">
      <c r="E421" s="22"/>
      <c r="G421" s="22"/>
    </row>
    <row r="422" spans="5:7">
      <c r="E422" s="22"/>
      <c r="G422" s="22"/>
    </row>
    <row r="423" spans="5:7">
      <c r="E423" s="22"/>
      <c r="G423" s="22"/>
    </row>
    <row r="424" spans="5:7">
      <c r="E424" s="22"/>
      <c r="G424" s="22"/>
    </row>
    <row r="425" spans="5:7">
      <c r="E425" s="22"/>
      <c r="G425" s="22"/>
    </row>
    <row r="426" spans="5:7">
      <c r="E426" s="22"/>
      <c r="G426" s="22"/>
    </row>
    <row r="427" spans="5:7">
      <c r="E427" s="22"/>
      <c r="G427" s="22"/>
    </row>
    <row r="428" spans="5:7">
      <c r="E428" s="22"/>
      <c r="G428" s="22"/>
    </row>
    <row r="429" spans="5:7">
      <c r="E429" s="22"/>
      <c r="G429" s="22"/>
    </row>
    <row r="430" spans="5:7">
      <c r="E430" s="22"/>
      <c r="G430" s="22"/>
    </row>
    <row r="431" spans="5:7">
      <c r="E431" s="22"/>
      <c r="G431" s="22"/>
    </row>
    <row r="432" spans="5:7">
      <c r="E432" s="22"/>
      <c r="G432" s="22"/>
    </row>
    <row r="433" spans="5:7">
      <c r="E433" s="22"/>
      <c r="G433" s="22"/>
    </row>
    <row r="434" spans="5:7">
      <c r="E434" s="22"/>
      <c r="G434" s="22"/>
    </row>
    <row r="435" spans="5:7">
      <c r="E435" s="22"/>
      <c r="G435" s="22"/>
    </row>
    <row r="436" spans="5:7">
      <c r="E436" s="22"/>
      <c r="G436" s="22"/>
    </row>
    <row r="437" spans="5:7">
      <c r="E437" s="22"/>
      <c r="G437" s="22"/>
    </row>
    <row r="438" spans="5:7">
      <c r="E438" s="22"/>
      <c r="G438" s="22"/>
    </row>
    <row r="439" spans="5:7">
      <c r="E439" s="22"/>
      <c r="G439" s="22"/>
    </row>
    <row r="440" spans="5:7">
      <c r="E440" s="22"/>
      <c r="G440" s="22"/>
    </row>
    <row r="441" spans="5:7">
      <c r="E441" s="22"/>
      <c r="G441" s="22"/>
    </row>
    <row r="442" spans="5:7">
      <c r="E442" s="22"/>
      <c r="G442" s="22"/>
    </row>
    <row r="443" spans="5:7">
      <c r="E443" s="22"/>
      <c r="G443" s="22"/>
    </row>
    <row r="444" spans="5:7">
      <c r="E444" s="22"/>
      <c r="G444" s="22"/>
    </row>
    <row r="445" spans="5:7">
      <c r="E445" s="22"/>
      <c r="G445" s="22"/>
    </row>
    <row r="446" spans="5:7">
      <c r="E446" s="22"/>
      <c r="G446" s="22"/>
    </row>
    <row r="447" spans="5:7">
      <c r="E447" s="22"/>
      <c r="G447" s="22"/>
    </row>
    <row r="448" spans="5:7">
      <c r="E448" s="22"/>
      <c r="G448" s="22"/>
    </row>
    <row r="449" spans="5:7">
      <c r="E449" s="22"/>
      <c r="G449" s="22"/>
    </row>
    <row r="450" spans="5:7">
      <c r="E450" s="22"/>
      <c r="G450" s="22"/>
    </row>
    <row r="451" spans="5:7">
      <c r="E451" s="22"/>
      <c r="G451" s="22"/>
    </row>
    <row r="452" spans="5:7">
      <c r="E452" s="22"/>
      <c r="G452" s="22"/>
    </row>
    <row r="453" spans="5:7">
      <c r="E453" s="22"/>
      <c r="G453" s="22"/>
    </row>
    <row r="454" spans="5:7">
      <c r="E454" s="22"/>
      <c r="G454" s="22"/>
    </row>
    <row r="455" spans="5:7">
      <c r="E455" s="22"/>
      <c r="G455" s="22"/>
    </row>
    <row r="456" spans="5:7">
      <c r="E456" s="22"/>
      <c r="G456" s="22"/>
    </row>
    <row r="457" spans="5:7">
      <c r="E457" s="22"/>
      <c r="G457" s="22"/>
    </row>
    <row r="458" spans="5:7">
      <c r="E458" s="22"/>
      <c r="G458" s="22"/>
    </row>
    <row r="459" spans="5:7">
      <c r="E459" s="22"/>
      <c r="G459" s="22"/>
    </row>
    <row r="460" spans="5:7">
      <c r="E460" s="22"/>
      <c r="G460" s="22"/>
    </row>
    <row r="461" spans="5:7">
      <c r="E461" s="22"/>
      <c r="G461" s="22"/>
    </row>
    <row r="462" spans="5:7">
      <c r="E462" s="22"/>
      <c r="G462" s="22"/>
    </row>
    <row r="463" spans="5:7">
      <c r="E463" s="22"/>
      <c r="G463" s="22"/>
    </row>
    <row r="464" spans="5:7">
      <c r="E464" s="22"/>
      <c r="G464" s="22"/>
    </row>
    <row r="465" spans="5:7">
      <c r="E465" s="22"/>
      <c r="G465" s="22"/>
    </row>
    <row r="466" spans="5:7">
      <c r="E466" s="22"/>
      <c r="G466" s="22"/>
    </row>
    <row r="467" spans="5:7">
      <c r="E467" s="22"/>
      <c r="G467" s="22"/>
    </row>
    <row r="468" spans="5:7">
      <c r="E468" s="22"/>
      <c r="G468" s="22"/>
    </row>
    <row r="469" spans="5:7">
      <c r="E469" s="22"/>
      <c r="G469" s="22"/>
    </row>
    <row r="470" spans="5:7">
      <c r="E470" s="22"/>
      <c r="G470" s="22"/>
    </row>
    <row r="471" spans="5:7">
      <c r="E471" s="22"/>
      <c r="G471" s="22"/>
    </row>
    <row r="472" spans="5:7">
      <c r="E472" s="22"/>
      <c r="G472" s="22"/>
    </row>
    <row r="473" spans="5:7">
      <c r="E473" s="22"/>
      <c r="G473" s="22"/>
    </row>
    <row r="474" spans="5:7">
      <c r="E474" s="22"/>
      <c r="G474" s="22"/>
    </row>
    <row r="475" spans="5:7">
      <c r="E475" s="22"/>
      <c r="G475" s="22"/>
    </row>
    <row r="476" spans="5:7">
      <c r="E476" s="22"/>
      <c r="G476" s="22"/>
    </row>
    <row r="477" spans="5:7">
      <c r="E477" s="22"/>
      <c r="G477" s="22"/>
    </row>
    <row r="478" spans="5:7">
      <c r="E478" s="22"/>
      <c r="G478" s="22"/>
    </row>
    <row r="479" spans="5:7">
      <c r="E479" s="22"/>
      <c r="G479" s="22"/>
    </row>
    <row r="480" spans="5:7">
      <c r="E480" s="22"/>
      <c r="G480" s="22"/>
    </row>
    <row r="481" spans="5:7">
      <c r="E481" s="22"/>
      <c r="G481" s="22"/>
    </row>
    <row r="482" spans="5:7">
      <c r="E482" s="22"/>
      <c r="G482" s="22"/>
    </row>
    <row r="483" spans="5:7">
      <c r="E483" s="22"/>
      <c r="G483" s="22"/>
    </row>
    <row r="484" spans="5:7">
      <c r="E484" s="22"/>
      <c r="G484" s="22"/>
    </row>
    <row r="485" spans="5:7">
      <c r="E485" s="22"/>
      <c r="G485" s="22"/>
    </row>
    <row r="486" spans="5:7">
      <c r="E486" s="22"/>
      <c r="G486" s="22"/>
    </row>
    <row r="487" spans="5:7">
      <c r="E487" s="22"/>
      <c r="G487" s="22"/>
    </row>
    <row r="488" spans="5:7">
      <c r="E488" s="22"/>
      <c r="G488" s="22"/>
    </row>
    <row r="489" spans="5:7">
      <c r="E489" s="22"/>
      <c r="G489" s="22"/>
    </row>
    <row r="490" spans="5:7">
      <c r="E490" s="22"/>
      <c r="G490" s="22"/>
    </row>
    <row r="491" spans="5:7">
      <c r="E491" s="22"/>
      <c r="G491" s="22"/>
    </row>
    <row r="492" spans="5:7">
      <c r="E492" s="22"/>
      <c r="G492" s="22"/>
    </row>
    <row r="493" spans="5:7">
      <c r="E493" s="22"/>
      <c r="G493" s="22"/>
    </row>
    <row r="494" spans="5:7">
      <c r="E494" s="22"/>
      <c r="G494" s="22"/>
    </row>
    <row r="495" spans="5:7">
      <c r="E495" s="22"/>
      <c r="G495" s="22"/>
    </row>
    <row r="496" spans="5:7">
      <c r="E496" s="22"/>
      <c r="G496" s="22"/>
    </row>
    <row r="497" spans="5:7">
      <c r="E497" s="22"/>
      <c r="G497" s="22"/>
    </row>
    <row r="498" spans="5:7">
      <c r="E498" s="22"/>
      <c r="G498" s="22"/>
    </row>
    <row r="499" spans="5:7">
      <c r="E499" s="22"/>
      <c r="G499" s="22"/>
    </row>
  </sheetData>
  <dataValidations count="1">
    <dataValidation type="list" sqref="H2:I499">
      <formula1>"Oui,Non"</formula1>
    </dataValidation>
  </dataValidations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5"/>
  <sheetViews>
    <sheetView workbookViewId="0">
      <selection sqref="A1:F1"/>
    </sheetView>
  </sheetViews>
  <sheetFormatPr baseColWidth="10" defaultColWidth="8.75" defaultRowHeight="14.25"/>
  <cols>
    <col min="1" max="1" width="24" customWidth="1"/>
    <col min="2" max="2" width="34" customWidth="1"/>
    <col min="3" max="3" width="3" customWidth="1"/>
    <col min="4" max="4" width="24" customWidth="1"/>
    <col min="5" max="5" width="42" customWidth="1"/>
    <col min="6" max="6" width="4" customWidth="1"/>
  </cols>
  <sheetData>
    <row r="1" spans="1:6" ht="20.85" customHeight="1">
      <c r="A1" s="37" t="s">
        <v>2014</v>
      </c>
      <c r="B1" s="37"/>
      <c r="C1" s="37"/>
      <c r="D1" s="37"/>
      <c r="E1" s="37"/>
      <c r="F1" s="37"/>
    </row>
    <row r="2" spans="1:6">
      <c r="A2" s="1"/>
      <c r="B2" s="1"/>
      <c r="C2" s="1"/>
      <c r="D2" s="1"/>
      <c r="E2" s="1"/>
      <c r="F2" s="1"/>
    </row>
    <row r="3" spans="1:6" ht="30">
      <c r="A3" s="23" t="s">
        <v>2015</v>
      </c>
      <c r="B3" s="23"/>
      <c r="C3" s="1"/>
      <c r="D3" s="23" t="s">
        <v>2016</v>
      </c>
      <c r="E3" s="23"/>
      <c r="F3" s="1"/>
    </row>
    <row r="4" spans="1:6" ht="15">
      <c r="A4" s="24" t="s">
        <v>2017</v>
      </c>
      <c r="B4" s="25"/>
      <c r="C4" s="1"/>
      <c r="D4" s="24" t="s">
        <v>2</v>
      </c>
      <c r="E4" s="26" t="str">
        <f>IF(OR(TRIM(B6)&lt;&gt;"",TRIM(B7)&lt;&gt;""),"Docteur","")</f>
        <v/>
      </c>
      <c r="F4" s="1"/>
    </row>
    <row r="5" spans="1:6" ht="15">
      <c r="A5" s="24" t="s">
        <v>2018</v>
      </c>
      <c r="B5" s="25"/>
      <c r="C5" s="1"/>
      <c r="D5" s="24" t="s">
        <v>3</v>
      </c>
      <c r="E5" s="26" t="str">
        <f>IF(B5="Homme","Monsieur",IF(B5="Femme","Madame",""))</f>
        <v/>
      </c>
      <c r="F5" s="1"/>
    </row>
    <row r="6" spans="1:6" ht="15">
      <c r="A6" s="24" t="s">
        <v>2019</v>
      </c>
      <c r="B6" s="25"/>
      <c r="C6" s="1"/>
      <c r="D6" s="24" t="s">
        <v>1</v>
      </c>
      <c r="E6" s="26" t="str">
        <f>IF(TRIM(B7)="","",TRIM(E4&amp;" "&amp;B6&amp;" "&amp;UPPER(B7)))</f>
        <v/>
      </c>
      <c r="F6" s="1"/>
    </row>
    <row r="7" spans="1:6" ht="15">
      <c r="A7" s="24" t="s">
        <v>5</v>
      </c>
      <c r="B7" s="25"/>
      <c r="C7" s="1"/>
      <c r="D7" s="24" t="s">
        <v>1718</v>
      </c>
      <c r="E7" s="26" t="str">
        <f>IF(E6="","",E6)</f>
        <v/>
      </c>
      <c r="F7" s="1"/>
    </row>
    <row r="8" spans="1:6" ht="15">
      <c r="A8" s="24" t="s">
        <v>1947</v>
      </c>
      <c r="B8" s="25"/>
      <c r="C8" s="1"/>
      <c r="D8" s="24" t="s">
        <v>1977</v>
      </c>
      <c r="E8" s="26" t="str">
        <f>IF(B8="","",IFERROR(INDEX(Structures!$B$2:$B$499,MATCH(B8,Structures!$A$2:$A$499,0)),""))</f>
        <v/>
      </c>
      <c r="F8" s="1"/>
    </row>
    <row r="9" spans="1:6" ht="15">
      <c r="A9" s="24" t="s">
        <v>2020</v>
      </c>
      <c r="B9" s="25"/>
      <c r="C9" s="1"/>
      <c r="D9" s="24" t="s">
        <v>2021</v>
      </c>
      <c r="E9" s="26" t="str">
        <f>IF(B9&lt;&gt;"",B9,IF(B8="","",IFERROR(INDEX(Structures!$C$2:$C$499,MATCH(B8,Structures!$A$2:$A$499,0))&amp;"","")))</f>
        <v/>
      </c>
      <c r="F9" s="1"/>
    </row>
    <row r="10" spans="1:6" ht="15">
      <c r="A10" s="24" t="s">
        <v>2022</v>
      </c>
      <c r="B10" s="25"/>
      <c r="C10" s="1"/>
      <c r="D10" s="24" t="s">
        <v>2023</v>
      </c>
      <c r="E10" s="26" t="str">
        <f>IF(B10&lt;&gt;"",B10,IF(B8="","",IFERROR(INDEX(Structures!$D$2:$D$499,MATCH(B8,Structures!$A$2:$A$499,0))&amp;"","")))</f>
        <v/>
      </c>
      <c r="F10" s="1"/>
    </row>
    <row r="11" spans="1:6" ht="15">
      <c r="A11" s="24" t="s">
        <v>2024</v>
      </c>
      <c r="B11" s="25"/>
      <c r="C11" s="1"/>
      <c r="D11" s="24" t="s">
        <v>2025</v>
      </c>
      <c r="E11" s="26" t="str">
        <f>IF(B11&lt;&gt;"",B11,IF(B8="","",IFERROR(INDEX(Structures!$E$2:$E$499,MATCH(B8,Structures!$A$2:$A$499,0))&amp;"","")))</f>
        <v/>
      </c>
      <c r="F11" s="1"/>
    </row>
    <row r="12" spans="1:6" ht="15">
      <c r="A12" s="24" t="s">
        <v>2026</v>
      </c>
      <c r="B12" s="25"/>
      <c r="C12" s="1"/>
      <c r="D12" s="24" t="s">
        <v>2027</v>
      </c>
      <c r="E12" s="26" t="str">
        <f>IF(B12&lt;&gt;"",B12,IF(B8="","",IFERROR(INDEX(Structures!$F$2:$F$499,MATCH(B8,Structures!$A$2:$A$499,0))&amp;"","")))</f>
        <v/>
      </c>
      <c r="F12" s="1"/>
    </row>
    <row r="13" spans="1:6" ht="15">
      <c r="A13" s="24" t="s">
        <v>2028</v>
      </c>
      <c r="B13" s="25"/>
      <c r="C13" s="1"/>
      <c r="D13" s="24" t="s">
        <v>2029</v>
      </c>
      <c r="E13" s="26" t="str">
        <f>IF(B13&lt;&gt;"",B13,IF(B8="","",IFERROR(INDEX(Structures!$G$2:$G$499,MATCH(B8,Structures!$A$2:$A$499,0))&amp;"","")))</f>
        <v/>
      </c>
      <c r="F13" s="1"/>
    </row>
    <row r="14" spans="1:6" ht="15">
      <c r="A14" s="24" t="s">
        <v>14</v>
      </c>
      <c r="B14" s="25" t="s">
        <v>43</v>
      </c>
      <c r="C14" s="1"/>
      <c r="D14" s="24" t="s">
        <v>13</v>
      </c>
      <c r="E14" s="26" t="str">
        <f>IF(B16&lt;&gt;"",B16,IF(B14="tu",IF(B5="Femme","Ma Chère "&amp;B6&amp;",",IF(B5="Homme","Mon Cher "&amp;B6&amp;",","Cher Ami,")),IF(B5="Femme","Ma Chère Consoeur,","Cher Confrère,")))</f>
        <v>Cher Confrère,</v>
      </c>
      <c r="F14" s="1"/>
    </row>
    <row r="15" spans="1:6" ht="15">
      <c r="A15" s="24" t="s">
        <v>2030</v>
      </c>
      <c r="B15" s="25"/>
      <c r="C15" s="1"/>
      <c r="D15" s="24" t="s">
        <v>1864</v>
      </c>
      <c r="E15" s="26" t="str">
        <f>IF(B14="tu","Amitiés.","Bien cordialement.")</f>
        <v>Bien cordialement.</v>
      </c>
      <c r="F15" s="1"/>
    </row>
    <row r="16" spans="1:6" ht="15">
      <c r="A16" s="24" t="s">
        <v>2031</v>
      </c>
      <c r="B16" s="25"/>
      <c r="C16" s="1"/>
      <c r="D16" s="24" t="s">
        <v>2032</v>
      </c>
      <c r="E16" s="26" t="str">
        <f>IF(E8&lt;&gt;"",E8,"")&amp;IF(E9&lt;&gt;"",IF(E8&lt;&gt;"",CHAR(10),"")&amp;E9,"")&amp;IF(E10&lt;&gt;"",CHAR(10)&amp;E10,"")&amp;IF(OR(E11&lt;&gt;"",E12&lt;&gt;""),CHAR(10)&amp;TRIM(E11&amp;" "&amp;E12),"")&amp;IF(E13&lt;&gt;"",CHAR(10)&amp;E13,"")</f>
        <v/>
      </c>
      <c r="F16" s="1"/>
    </row>
    <row r="17" spans="1:6" ht="15">
      <c r="A17" s="1"/>
      <c r="B17" s="1"/>
      <c r="C17" s="1"/>
      <c r="D17" s="24" t="s">
        <v>12</v>
      </c>
      <c r="E17" s="26" t="str">
        <f>IF(E7="","",E7)&amp;IF(E8&lt;&gt;"",CHAR(10)&amp;E8,"")&amp;IF(E9&lt;&gt;"",CHAR(10)&amp;E9,"")&amp;IF(E10&lt;&gt;"",CHAR(10)&amp;E10,"")&amp;IF(OR(E11&lt;&gt;"",E12&lt;&gt;""),CHAR(10)&amp;TRIM(E11&amp;" "&amp;E12),"")&amp;IF(E13&lt;&gt;"",CHAR(10)&amp;E13,"")</f>
        <v/>
      </c>
      <c r="F17" s="1"/>
    </row>
    <row r="18" spans="1:6" ht="15">
      <c r="A18" s="1"/>
      <c r="B18" s="1"/>
      <c r="C18" s="1"/>
      <c r="D18" s="24" t="s">
        <v>17</v>
      </c>
      <c r="E18" s="26" t="str">
        <f>"Oui"</f>
        <v>Oui</v>
      </c>
      <c r="F18" s="1"/>
    </row>
    <row r="19" spans="1:6" ht="15">
      <c r="A19" s="30"/>
      <c r="B19" s="30"/>
      <c r="C19" s="30"/>
      <c r="D19" s="28" t="s">
        <v>18</v>
      </c>
      <c r="E19" s="29" t="str">
        <f>"Non"</f>
        <v>Non</v>
      </c>
      <c r="F19" s="27"/>
    </row>
    <row r="20" spans="1:6" ht="15">
      <c r="A20" s="1"/>
      <c r="B20" s="1"/>
      <c r="C20" s="1"/>
      <c r="D20" s="24" t="s">
        <v>15</v>
      </c>
      <c r="E20" s="26">
        <f>0</f>
        <v>0</v>
      </c>
      <c r="F20" s="1"/>
    </row>
    <row r="21" spans="1:6" ht="15">
      <c r="A21" s="1"/>
      <c r="B21" s="1"/>
      <c r="C21" s="1"/>
      <c r="D21" s="24" t="s">
        <v>21</v>
      </c>
      <c r="E21" s="26" t="e">
        <f ca="1">"Saisie formulaire Word - "&amp;TEXT(TODAY(),"dd/mm/yyyy")</f>
        <v>#VALUE!</v>
      </c>
      <c r="F21" s="1"/>
    </row>
    <row r="22" spans="1:6" ht="15">
      <c r="A22" s="1"/>
      <c r="B22" s="1"/>
      <c r="C22" s="1"/>
      <c r="D22" s="24" t="s">
        <v>2033</v>
      </c>
      <c r="E22" s="26" t="str">
        <f>IF(B15="","",IFERROR(LEFT(B15,FIND(";",B15)-1),B15))</f>
        <v/>
      </c>
      <c r="F22" s="1"/>
    </row>
    <row r="23" spans="1:6" ht="15">
      <c r="A23" s="1"/>
      <c r="B23" s="1"/>
      <c r="C23" s="1"/>
      <c r="D23" s="24" t="s">
        <v>1717</v>
      </c>
      <c r="E23" s="26" t="str">
        <f>IF(B15="","",B15)</f>
        <v/>
      </c>
      <c r="F23" s="1"/>
    </row>
    <row r="24" spans="1:6" ht="15">
      <c r="A24" s="1"/>
      <c r="B24" s="1"/>
      <c r="C24" s="1"/>
      <c r="D24" s="24" t="s">
        <v>1719</v>
      </c>
      <c r="E24" s="26">
        <f>1</f>
        <v>1</v>
      </c>
      <c r="F24" s="1"/>
    </row>
    <row r="25" spans="1:6" ht="15">
      <c r="A25" s="1"/>
      <c r="B25" s="1"/>
      <c r="C25" s="1"/>
      <c r="D25" s="24" t="s">
        <v>2034</v>
      </c>
      <c r="E25" s="26" t="str">
        <f>"Créé par formulaire Word"</f>
        <v>Créé par formulaire Word</v>
      </c>
      <c r="F25" s="1"/>
    </row>
    <row r="26" spans="1:6" ht="15">
      <c r="A26" s="1"/>
      <c r="B26" s="1"/>
      <c r="C26" s="1"/>
      <c r="D26" s="24" t="s">
        <v>1947</v>
      </c>
      <c r="E26" s="26" t="str">
        <f>IF(B8="","",B8)</f>
        <v/>
      </c>
      <c r="F26" s="1"/>
    </row>
    <row r="27" spans="1:6">
      <c r="A27" s="1"/>
      <c r="B27" s="1"/>
      <c r="C27" s="1"/>
      <c r="D27" s="1"/>
      <c r="E27" s="1"/>
      <c r="F27" s="1"/>
    </row>
    <row r="28" spans="1:6">
      <c r="A28" s="1"/>
      <c r="B28" s="1"/>
      <c r="C28" s="1"/>
      <c r="D28" s="1"/>
      <c r="E28" s="1"/>
      <c r="F28" s="1"/>
    </row>
    <row r="29" spans="1:6" ht="15">
      <c r="A29" s="38" t="s">
        <v>2035</v>
      </c>
      <c r="B29" s="38"/>
      <c r="C29" s="38"/>
      <c r="D29" s="38"/>
      <c r="E29" s="38"/>
      <c r="F29" s="38"/>
    </row>
    <row r="30" spans="1:6">
      <c r="A30" s="1" t="s">
        <v>2036</v>
      </c>
      <c r="B30" s="36" t="s">
        <v>2037</v>
      </c>
      <c r="C30" s="36"/>
      <c r="D30" s="36"/>
      <c r="E30" s="36"/>
      <c r="F30" s="36"/>
    </row>
    <row r="31" spans="1:6">
      <c r="A31" s="1" t="s">
        <v>2036</v>
      </c>
      <c r="B31" s="36" t="s">
        <v>2038</v>
      </c>
      <c r="C31" s="36"/>
      <c r="D31" s="36"/>
      <c r="E31" s="36"/>
      <c r="F31" s="36"/>
    </row>
    <row r="32" spans="1:6">
      <c r="A32" s="1" t="s">
        <v>2036</v>
      </c>
      <c r="B32" s="36" t="s">
        <v>2039</v>
      </c>
      <c r="C32" s="36"/>
      <c r="D32" s="36"/>
      <c r="E32" s="36"/>
      <c r="F32" s="36"/>
    </row>
    <row r="33" spans="1:6">
      <c r="A33" s="1" t="s">
        <v>2036</v>
      </c>
      <c r="B33" s="36" t="s">
        <v>2040</v>
      </c>
      <c r="C33" s="36"/>
      <c r="D33" s="36"/>
      <c r="E33" s="36"/>
      <c r="F33" s="36"/>
    </row>
    <row r="34" spans="1:6">
      <c r="A34" s="1" t="s">
        <v>2036</v>
      </c>
      <c r="B34" s="36" t="s">
        <v>2041</v>
      </c>
      <c r="C34" s="36"/>
      <c r="D34" s="36"/>
      <c r="E34" s="36"/>
      <c r="F34" s="36"/>
    </row>
    <row r="35" spans="1:6">
      <c r="A35" s="1" t="s">
        <v>2036</v>
      </c>
      <c r="B35" s="36" t="s">
        <v>2042</v>
      </c>
      <c r="C35" s="36"/>
      <c r="D35" s="36"/>
      <c r="E35" s="36"/>
      <c r="F35" s="36"/>
    </row>
  </sheetData>
  <mergeCells count="8">
    <mergeCell ref="B33:F33"/>
    <mergeCell ref="B34:F34"/>
    <mergeCell ref="B35:F35"/>
    <mergeCell ref="A1:F1"/>
    <mergeCell ref="A29:F29"/>
    <mergeCell ref="B30:F30"/>
    <mergeCell ref="B31:F31"/>
    <mergeCell ref="B32:F32"/>
  </mergeCells>
  <dataValidations count="3">
    <dataValidation type="list" sqref="B4">
      <formula1>"Generaliste,Specialiste"</formula1>
    </dataValidation>
    <dataValidation type="list" sqref="B5">
      <formula1>"Homme,Femme,Non precise"</formula1>
    </dataValidation>
    <dataValidation type="list" sqref="B14">
      <formula1>"vous,tu"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7</vt:i4>
      </vt:variant>
    </vt:vector>
  </HeadingPairs>
  <TitlesOfParts>
    <vt:vector size="7" baseType="lpstr">
      <vt:lpstr>Generalistes</vt:lpstr>
      <vt:lpstr>Specialistes</vt:lpstr>
      <vt:lpstr>Specialistes_ParType</vt:lpstr>
      <vt:lpstr>Listes</vt:lpstr>
      <vt:lpstr>Mode_emploi</vt:lpstr>
      <vt:lpstr>Structures</vt:lpstr>
      <vt:lpstr>Saisie_Correspondants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Olivier Mandagout</cp:lastModifiedBy>
  <dcterms:modified xsi:type="dcterms:W3CDTF">2026-08-20T17:11:48Z</dcterms:modified>
</cp:coreProperties>
</file>